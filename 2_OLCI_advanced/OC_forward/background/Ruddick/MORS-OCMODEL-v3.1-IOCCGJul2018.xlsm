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ddick\Kevin_From_ODN-KR\TALKS\IOCCG-Villefranche2018\"/>
    </mc:Choice>
  </mc:AlternateContent>
  <bookViews>
    <workbookView xWindow="0" yWindow="0" windowWidth="23040" windowHeight="9060" tabRatio="599"/>
  </bookViews>
  <sheets>
    <sheet name="INPUT" sheetId="17" r:id="rId1"/>
    <sheet name="README" sheetId="13" r:id="rId2"/>
    <sheet name="SampleRRS" sheetId="19" r:id="rId3"/>
    <sheet name="PARAMETERS" sheetId="15" r:id="rId4"/>
    <sheet name="CALCULATIONS" sheetId="16" r:id="rId5"/>
    <sheet name="AEROSOLCorrection" sheetId="21" r:id="rId6"/>
  </sheets>
  <definedNames>
    <definedName name="CDOM">INPUT!$D$23</definedName>
    <definedName name="CHL">INPUT!$B$23</definedName>
    <definedName name="CounterCDOM">INPUT!$D$43</definedName>
    <definedName name="CounterCHL">INPUT!$B$43</definedName>
    <definedName name="CounterNAP">INPUT!$C$43</definedName>
    <definedName name="DefaultIOP">INPUT!$C$39:$C$39</definedName>
    <definedName name="Home">INPUT!A1</definedName>
    <definedName name="InputCONS">INPUT!$B$23:$E$23</definedName>
    <definedName name="InputIOP">INPUT!$B$39:$B$39</definedName>
    <definedName name="InputRrs">CALCULATIONS!$L$8:$L$208</definedName>
    <definedName name="NAP">INPUT!$C$23</definedName>
    <definedName name="SavedCONS">SampleRRS!$B$3:$B$6</definedName>
    <definedName name="SavedIOP">SampleRRS!$B$7:$B$12</definedName>
    <definedName name="SavedRrs">SampleRRS!$B$16:$B$216</definedName>
  </definedNames>
  <calcPr calcId="171027"/>
</workbook>
</file>

<file path=xl/calcChain.xml><?xml version="1.0" encoding="utf-8"?>
<calcChain xmlns="http://schemas.openxmlformats.org/spreadsheetml/2006/main">
  <c r="F10" i="21" l="1"/>
  <c r="C44" i="17"/>
  <c r="C23" i="17" s="1"/>
  <c r="A240" i="16"/>
  <c r="G240" i="16" s="1"/>
  <c r="B44" i="17"/>
  <c r="B23" i="17" s="1"/>
  <c r="B240" i="16"/>
  <c r="D44" i="17"/>
  <c r="D23" i="17" s="1"/>
  <c r="E240" i="16" s="1"/>
  <c r="A208" i="16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41" i="16"/>
  <c r="G241" i="16" s="1"/>
  <c r="B241" i="16"/>
  <c r="A190" i="16"/>
  <c r="G190" i="16" s="1"/>
  <c r="B190" i="16"/>
  <c r="A191" i="16"/>
  <c r="A196" i="21" s="1"/>
  <c r="B191" i="16"/>
  <c r="G11" i="21"/>
  <c r="A258" i="16"/>
  <c r="G258" i="16" s="1"/>
  <c r="B258" i="16"/>
  <c r="A257" i="16"/>
  <c r="G257" i="16"/>
  <c r="B257" i="16"/>
  <c r="A256" i="16"/>
  <c r="G256" i="16" s="1"/>
  <c r="B256" i="16"/>
  <c r="A255" i="16"/>
  <c r="G255" i="16" s="1"/>
  <c r="B255" i="16"/>
  <c r="A254" i="16"/>
  <c r="G254" i="16" s="1"/>
  <c r="B254" i="16"/>
  <c r="A253" i="16"/>
  <c r="G253" i="16"/>
  <c r="B253" i="16"/>
  <c r="A252" i="16"/>
  <c r="G252" i="16" s="1"/>
  <c r="B252" i="16"/>
  <c r="A251" i="16"/>
  <c r="G251" i="16" s="1"/>
  <c r="B251" i="16"/>
  <c r="A250" i="16"/>
  <c r="G250" i="16"/>
  <c r="B250" i="16"/>
  <c r="A249" i="16"/>
  <c r="B249" i="16"/>
  <c r="A248" i="16"/>
  <c r="G248" i="16" s="1"/>
  <c r="B248" i="16"/>
  <c r="A247" i="16"/>
  <c r="G247" i="16"/>
  <c r="B247" i="16"/>
  <c r="A246" i="16"/>
  <c r="G246" i="16"/>
  <c r="B246" i="16"/>
  <c r="A245" i="16"/>
  <c r="B245" i="16"/>
  <c r="A244" i="16"/>
  <c r="G244" i="16" s="1"/>
  <c r="B244" i="16"/>
  <c r="A243" i="16"/>
  <c r="G243" i="16" s="1"/>
  <c r="B243" i="16"/>
  <c r="A242" i="16"/>
  <c r="G242" i="16"/>
  <c r="B242" i="16"/>
  <c r="A239" i="16"/>
  <c r="G239" i="16"/>
  <c r="B239" i="16"/>
  <c r="A238" i="16"/>
  <c r="G238" i="16"/>
  <c r="B238" i="16"/>
  <c r="A237" i="16"/>
  <c r="B237" i="16"/>
  <c r="A236" i="16"/>
  <c r="B236" i="16"/>
  <c r="A235" i="16"/>
  <c r="G235" i="16" s="1"/>
  <c r="B235" i="16"/>
  <c r="A234" i="16"/>
  <c r="G234" i="16" s="1"/>
  <c r="B234" i="16"/>
  <c r="A233" i="16"/>
  <c r="B233" i="16"/>
  <c r="A232" i="16"/>
  <c r="G232" i="16"/>
  <c r="B232" i="16"/>
  <c r="A231" i="16"/>
  <c r="G231" i="16"/>
  <c r="B231" i="16"/>
  <c r="A230" i="16"/>
  <c r="B230" i="16"/>
  <c r="A229" i="16"/>
  <c r="G229" i="16" s="1"/>
  <c r="B229" i="16"/>
  <c r="A228" i="16"/>
  <c r="G228" i="16"/>
  <c r="B228" i="16"/>
  <c r="A227" i="16"/>
  <c r="G227" i="16" s="1"/>
  <c r="B227" i="16"/>
  <c r="A226" i="16"/>
  <c r="B226" i="16"/>
  <c r="A225" i="16"/>
  <c r="G225" i="16" s="1"/>
  <c r="B225" i="16"/>
  <c r="A224" i="16"/>
  <c r="G224" i="16"/>
  <c r="B224" i="16"/>
  <c r="A223" i="16"/>
  <c r="G223" i="16"/>
  <c r="B223" i="16"/>
  <c r="A222" i="16"/>
  <c r="B222" i="16"/>
  <c r="A221" i="16"/>
  <c r="G221" i="16"/>
  <c r="B221" i="16"/>
  <c r="A220" i="16"/>
  <c r="G220" i="16"/>
  <c r="B220" i="16"/>
  <c r="A219" i="16"/>
  <c r="G219" i="16"/>
  <c r="B219" i="16"/>
  <c r="A218" i="16"/>
  <c r="B218" i="16"/>
  <c r="A217" i="16"/>
  <c r="G217" i="16"/>
  <c r="B217" i="16"/>
  <c r="A216" i="16"/>
  <c r="G216" i="16"/>
  <c r="B216" i="16"/>
  <c r="A215" i="16"/>
  <c r="G215" i="16" s="1"/>
  <c r="B215" i="16"/>
  <c r="A214" i="16"/>
  <c r="G214" i="16" s="1"/>
  <c r="B214" i="16"/>
  <c r="A213" i="16"/>
  <c r="G213" i="16" s="1"/>
  <c r="B213" i="16"/>
  <c r="A212" i="16"/>
  <c r="G212" i="16"/>
  <c r="B212" i="16"/>
  <c r="A211" i="16"/>
  <c r="G211" i="16" s="1"/>
  <c r="B211" i="16"/>
  <c r="A210" i="16"/>
  <c r="G210" i="16" s="1"/>
  <c r="B210" i="16"/>
  <c r="A209" i="16"/>
  <c r="G209" i="16"/>
  <c r="B209" i="16"/>
  <c r="G208" i="16"/>
  <c r="B208" i="16"/>
  <c r="A207" i="16"/>
  <c r="G207" i="16" s="1"/>
  <c r="B207" i="16"/>
  <c r="A206" i="16"/>
  <c r="G206" i="16" s="1"/>
  <c r="B206" i="16"/>
  <c r="A205" i="16"/>
  <c r="A210" i="21" s="1"/>
  <c r="B205" i="16"/>
  <c r="A204" i="16"/>
  <c r="G204" i="16" s="1"/>
  <c r="B204" i="16"/>
  <c r="A203" i="16"/>
  <c r="G203" i="16" s="1"/>
  <c r="B203" i="16"/>
  <c r="A202" i="16"/>
  <c r="G202" i="16" s="1"/>
  <c r="B202" i="16"/>
  <c r="A201" i="16"/>
  <c r="A206" i="21" s="1"/>
  <c r="B201" i="16"/>
  <c r="A200" i="16"/>
  <c r="G200" i="16" s="1"/>
  <c r="B200" i="16"/>
  <c r="A199" i="16"/>
  <c r="G199" i="16" s="1"/>
  <c r="B199" i="16"/>
  <c r="A198" i="16"/>
  <c r="G198" i="16" s="1"/>
  <c r="B198" i="16"/>
  <c r="A197" i="16"/>
  <c r="A202" i="21" s="1"/>
  <c r="B197" i="16"/>
  <c r="A196" i="16"/>
  <c r="G196" i="16" s="1"/>
  <c r="B196" i="16"/>
  <c r="A195" i="16"/>
  <c r="G195" i="16" s="1"/>
  <c r="B195" i="16"/>
  <c r="A194" i="16"/>
  <c r="G194" i="16" s="1"/>
  <c r="B194" i="16"/>
  <c r="A193" i="16"/>
  <c r="A198" i="21" s="1"/>
  <c r="B193" i="16"/>
  <c r="A192" i="16"/>
  <c r="B192" i="16"/>
  <c r="A189" i="16"/>
  <c r="B189" i="16"/>
  <c r="A188" i="16"/>
  <c r="A193" i="21" s="1"/>
  <c r="B188" i="16"/>
  <c r="A187" i="16"/>
  <c r="G187" i="16" s="1"/>
  <c r="B187" i="16"/>
  <c r="A186" i="16"/>
  <c r="G186" i="16" s="1"/>
  <c r="B186" i="16"/>
  <c r="A185" i="16"/>
  <c r="G185" i="16" s="1"/>
  <c r="B185" i="16"/>
  <c r="A184" i="16"/>
  <c r="A189" i="21" s="1"/>
  <c r="B184" i="16"/>
  <c r="A183" i="16"/>
  <c r="G183" i="16" s="1"/>
  <c r="B183" i="16"/>
  <c r="A182" i="16"/>
  <c r="G182" i="16" s="1"/>
  <c r="B182" i="16"/>
  <c r="A181" i="16"/>
  <c r="G181" i="16" s="1"/>
  <c r="B181" i="16"/>
  <c r="A180" i="16"/>
  <c r="A185" i="21" s="1"/>
  <c r="B180" i="16"/>
  <c r="A179" i="16"/>
  <c r="G179" i="16" s="1"/>
  <c r="B179" i="16"/>
  <c r="A178" i="16"/>
  <c r="G178" i="16" s="1"/>
  <c r="B178" i="16"/>
  <c r="A177" i="16"/>
  <c r="G177" i="16" s="1"/>
  <c r="B177" i="16"/>
  <c r="A176" i="16"/>
  <c r="A181" i="21" s="1"/>
  <c r="B176" i="16"/>
  <c r="A175" i="16"/>
  <c r="G175" i="16" s="1"/>
  <c r="B175" i="16"/>
  <c r="A174" i="16"/>
  <c r="G174" i="16" s="1"/>
  <c r="B174" i="16"/>
  <c r="A173" i="16"/>
  <c r="G173" i="16" s="1"/>
  <c r="B173" i="16"/>
  <c r="A172" i="16"/>
  <c r="A177" i="21" s="1"/>
  <c r="B172" i="16"/>
  <c r="A171" i="16"/>
  <c r="G171" i="16" s="1"/>
  <c r="B171" i="16"/>
  <c r="A170" i="16"/>
  <c r="G170" i="16" s="1"/>
  <c r="B170" i="16"/>
  <c r="A169" i="16"/>
  <c r="G169" i="16" s="1"/>
  <c r="B169" i="16"/>
  <c r="A168" i="16"/>
  <c r="A173" i="21" s="1"/>
  <c r="B168" i="16"/>
  <c r="A167" i="16"/>
  <c r="G167" i="16" s="1"/>
  <c r="B167" i="16"/>
  <c r="A166" i="16"/>
  <c r="G166" i="16" s="1"/>
  <c r="B166" i="16"/>
  <c r="A165" i="16"/>
  <c r="G165" i="16" s="1"/>
  <c r="B165" i="16"/>
  <c r="A164" i="16"/>
  <c r="A169" i="21" s="1"/>
  <c r="B164" i="16"/>
  <c r="A163" i="16"/>
  <c r="G163" i="16" s="1"/>
  <c r="B163" i="16"/>
  <c r="A162" i="16"/>
  <c r="G162" i="16" s="1"/>
  <c r="B162" i="16"/>
  <c r="A161" i="16"/>
  <c r="G161" i="16" s="1"/>
  <c r="B161" i="16"/>
  <c r="A160" i="16"/>
  <c r="A165" i="21" s="1"/>
  <c r="B160" i="16"/>
  <c r="A159" i="16"/>
  <c r="G159" i="16" s="1"/>
  <c r="B159" i="16"/>
  <c r="A158" i="16"/>
  <c r="G158" i="16" s="1"/>
  <c r="B158" i="16"/>
  <c r="A157" i="16"/>
  <c r="G157" i="16" s="1"/>
  <c r="B157" i="16"/>
  <c r="A156" i="16"/>
  <c r="A161" i="21" s="1"/>
  <c r="B156" i="16"/>
  <c r="A155" i="16"/>
  <c r="G155" i="16" s="1"/>
  <c r="B155" i="16"/>
  <c r="A154" i="16"/>
  <c r="G154" i="16" s="1"/>
  <c r="B154" i="16"/>
  <c r="A153" i="16"/>
  <c r="G153" i="16" s="1"/>
  <c r="B153" i="16"/>
  <c r="A152" i="16"/>
  <c r="A157" i="21" s="1"/>
  <c r="B152" i="16"/>
  <c r="A151" i="16"/>
  <c r="G151" i="16" s="1"/>
  <c r="B151" i="16"/>
  <c r="A150" i="16"/>
  <c r="G150" i="16" s="1"/>
  <c r="B150" i="16"/>
  <c r="A149" i="16"/>
  <c r="G149" i="16" s="1"/>
  <c r="B149" i="16"/>
  <c r="A148" i="16"/>
  <c r="A153" i="21" s="1"/>
  <c r="B148" i="16"/>
  <c r="A147" i="16"/>
  <c r="B147" i="16"/>
  <c r="A146" i="16"/>
  <c r="G146" i="16" s="1"/>
  <c r="B146" i="16"/>
  <c r="A145" i="16"/>
  <c r="G145" i="16" s="1"/>
  <c r="B145" i="16"/>
  <c r="A144" i="16"/>
  <c r="G144" i="16" s="1"/>
  <c r="B144" i="16"/>
  <c r="A143" i="16"/>
  <c r="A148" i="21" s="1"/>
  <c r="B143" i="16"/>
  <c r="A142" i="16"/>
  <c r="G142" i="16" s="1"/>
  <c r="B142" i="16"/>
  <c r="A141" i="16"/>
  <c r="G141" i="16" s="1"/>
  <c r="B141" i="16"/>
  <c r="A140" i="16"/>
  <c r="G140" i="16" s="1"/>
  <c r="B140" i="16"/>
  <c r="A139" i="16"/>
  <c r="A144" i="21" s="1"/>
  <c r="B139" i="16"/>
  <c r="A138" i="16"/>
  <c r="G138" i="16" s="1"/>
  <c r="B138" i="16"/>
  <c r="A137" i="16"/>
  <c r="G137" i="16" s="1"/>
  <c r="B137" i="16"/>
  <c r="A136" i="16"/>
  <c r="G136" i="16" s="1"/>
  <c r="B136" i="16"/>
  <c r="A135" i="16"/>
  <c r="A140" i="21" s="1"/>
  <c r="B135" i="16"/>
  <c r="A134" i="16"/>
  <c r="G134" i="16" s="1"/>
  <c r="B134" i="16"/>
  <c r="A133" i="16"/>
  <c r="G133" i="16" s="1"/>
  <c r="B133" i="16"/>
  <c r="A132" i="16"/>
  <c r="G132" i="16" s="1"/>
  <c r="B132" i="16"/>
  <c r="A131" i="16"/>
  <c r="A136" i="21" s="1"/>
  <c r="B131" i="16"/>
  <c r="A130" i="16"/>
  <c r="G130" i="16" s="1"/>
  <c r="B130" i="16"/>
  <c r="A129" i="16"/>
  <c r="G129" i="16" s="1"/>
  <c r="B129" i="16"/>
  <c r="A128" i="16"/>
  <c r="G128" i="16" s="1"/>
  <c r="B128" i="16"/>
  <c r="A127" i="16"/>
  <c r="A132" i="21" s="1"/>
  <c r="B127" i="16"/>
  <c r="A126" i="16"/>
  <c r="G126" i="16" s="1"/>
  <c r="B126" i="16"/>
  <c r="A125" i="16"/>
  <c r="G125" i="16" s="1"/>
  <c r="B125" i="16"/>
  <c r="A124" i="16"/>
  <c r="G124" i="16" s="1"/>
  <c r="B124" i="16"/>
  <c r="A123" i="16"/>
  <c r="A128" i="21" s="1"/>
  <c r="B123" i="16"/>
  <c r="A122" i="16"/>
  <c r="G122" i="16" s="1"/>
  <c r="B122" i="16"/>
  <c r="A121" i="16"/>
  <c r="G121" i="16" s="1"/>
  <c r="B121" i="16"/>
  <c r="A120" i="16"/>
  <c r="G120" i="16" s="1"/>
  <c r="B120" i="16"/>
  <c r="A119" i="16"/>
  <c r="A124" i="21" s="1"/>
  <c r="B119" i="16"/>
  <c r="A118" i="16"/>
  <c r="G118" i="16" s="1"/>
  <c r="B118" i="16"/>
  <c r="A117" i="16"/>
  <c r="G117" i="16" s="1"/>
  <c r="B117" i="16"/>
  <c r="A116" i="16"/>
  <c r="G116" i="16" s="1"/>
  <c r="B116" i="16"/>
  <c r="A115" i="16"/>
  <c r="A120" i="21" s="1"/>
  <c r="B115" i="16"/>
  <c r="A114" i="16"/>
  <c r="G114" i="16" s="1"/>
  <c r="B114" i="16"/>
  <c r="A113" i="16"/>
  <c r="G113" i="16" s="1"/>
  <c r="B113" i="16"/>
  <c r="A112" i="16"/>
  <c r="G112" i="16" s="1"/>
  <c r="B112" i="16"/>
  <c r="A111" i="16"/>
  <c r="A116" i="21" s="1"/>
  <c r="B111" i="16"/>
  <c r="A110" i="16"/>
  <c r="G110" i="16" s="1"/>
  <c r="B110" i="16"/>
  <c r="A109" i="16"/>
  <c r="G109" i="16" s="1"/>
  <c r="B109" i="16"/>
  <c r="A108" i="16"/>
  <c r="G108" i="16" s="1"/>
  <c r="B108" i="16"/>
  <c r="A107" i="16"/>
  <c r="A112" i="21" s="1"/>
  <c r="B107" i="16"/>
  <c r="A106" i="16"/>
  <c r="G106" i="16" s="1"/>
  <c r="B106" i="16"/>
  <c r="A105" i="16"/>
  <c r="G105" i="16" s="1"/>
  <c r="B105" i="16"/>
  <c r="A104" i="16"/>
  <c r="G104" i="16" s="1"/>
  <c r="B104" i="16"/>
  <c r="A103" i="16"/>
  <c r="A108" i="21" s="1"/>
  <c r="B103" i="16"/>
  <c r="A102" i="16"/>
  <c r="G102" i="16" s="1"/>
  <c r="B102" i="16"/>
  <c r="A101" i="16"/>
  <c r="G101" i="16" s="1"/>
  <c r="B101" i="16"/>
  <c r="A100" i="16"/>
  <c r="B100" i="16"/>
  <c r="A99" i="16"/>
  <c r="A104" i="21" s="1"/>
  <c r="B99" i="16"/>
  <c r="A98" i="16"/>
  <c r="G98" i="16" s="1"/>
  <c r="B98" i="16"/>
  <c r="A103" i="21"/>
  <c r="A97" i="16"/>
  <c r="G97" i="16"/>
  <c r="B97" i="16"/>
  <c r="A102" i="21"/>
  <c r="A96" i="16"/>
  <c r="B96" i="16"/>
  <c r="A95" i="16"/>
  <c r="G95" i="16"/>
  <c r="B95" i="16"/>
  <c r="A100" i="21"/>
  <c r="A94" i="16"/>
  <c r="B94" i="16"/>
  <c r="A93" i="16"/>
  <c r="G93" i="16"/>
  <c r="B93" i="16"/>
  <c r="A98" i="21"/>
  <c r="A92" i="16"/>
  <c r="B92" i="16"/>
  <c r="A91" i="16"/>
  <c r="G91" i="16"/>
  <c r="B91" i="16"/>
  <c r="A96" i="21"/>
  <c r="A90" i="16"/>
  <c r="B90" i="16"/>
  <c r="A89" i="16"/>
  <c r="G89" i="16"/>
  <c r="B89" i="16"/>
  <c r="A94" i="21"/>
  <c r="A88" i="16"/>
  <c r="B88" i="16"/>
  <c r="A87" i="16"/>
  <c r="G87" i="16"/>
  <c r="B87" i="16"/>
  <c r="A92" i="21"/>
  <c r="A86" i="16"/>
  <c r="B86" i="16"/>
  <c r="A85" i="16"/>
  <c r="G85" i="16"/>
  <c r="B85" i="16"/>
  <c r="A90" i="21"/>
  <c r="A84" i="16"/>
  <c r="B84" i="16"/>
  <c r="A83" i="16"/>
  <c r="G83" i="16"/>
  <c r="B83" i="16"/>
  <c r="A88" i="21"/>
  <c r="A82" i="16"/>
  <c r="B82" i="16"/>
  <c r="A81" i="16"/>
  <c r="G81" i="16"/>
  <c r="B81" i="16"/>
  <c r="A86" i="21"/>
  <c r="A80" i="16"/>
  <c r="B80" i="16"/>
  <c r="A79" i="16"/>
  <c r="G79" i="16"/>
  <c r="B79" i="16"/>
  <c r="A84" i="21"/>
  <c r="A78" i="16"/>
  <c r="B78" i="16"/>
  <c r="A77" i="16"/>
  <c r="G77" i="16"/>
  <c r="B77" i="16"/>
  <c r="A82" i="21"/>
  <c r="A76" i="16"/>
  <c r="B76" i="16"/>
  <c r="A75" i="16"/>
  <c r="G75" i="16"/>
  <c r="B75" i="16"/>
  <c r="A80" i="21"/>
  <c r="A74" i="16"/>
  <c r="B74" i="16"/>
  <c r="A73" i="16"/>
  <c r="G73" i="16"/>
  <c r="B73" i="16"/>
  <c r="A78" i="21"/>
  <c r="A72" i="16"/>
  <c r="B72" i="16"/>
  <c r="A71" i="16"/>
  <c r="G71" i="16"/>
  <c r="B71" i="16"/>
  <c r="A76" i="21"/>
  <c r="A70" i="16"/>
  <c r="B70" i="16"/>
  <c r="A69" i="16"/>
  <c r="G69" i="16"/>
  <c r="B69" i="16"/>
  <c r="A74" i="21"/>
  <c r="A68" i="16"/>
  <c r="B68" i="16"/>
  <c r="A67" i="16"/>
  <c r="G67" i="16"/>
  <c r="B67" i="16"/>
  <c r="A72" i="21"/>
  <c r="A66" i="16"/>
  <c r="B66" i="16"/>
  <c r="A65" i="16"/>
  <c r="G65" i="16"/>
  <c r="B65" i="16"/>
  <c r="A70" i="21"/>
  <c r="A64" i="16"/>
  <c r="B64" i="16"/>
  <c r="A63" i="16"/>
  <c r="G63" i="16"/>
  <c r="B63" i="16"/>
  <c r="A68" i="21"/>
  <c r="A62" i="16"/>
  <c r="G62" i="16" s="1"/>
  <c r="B62" i="16"/>
  <c r="A61" i="16"/>
  <c r="G61" i="16"/>
  <c r="B61" i="16"/>
  <c r="A66" i="21"/>
  <c r="A60" i="16"/>
  <c r="G60" i="16" s="1"/>
  <c r="B60" i="16"/>
  <c r="A59" i="16"/>
  <c r="G59" i="16"/>
  <c r="B59" i="16"/>
  <c r="A64" i="21"/>
  <c r="A58" i="16"/>
  <c r="G58" i="16" s="1"/>
  <c r="B58" i="16"/>
  <c r="A57" i="16"/>
  <c r="G57" i="16"/>
  <c r="B57" i="16"/>
  <c r="A62" i="21"/>
  <c r="A56" i="16"/>
  <c r="G56" i="16" s="1"/>
  <c r="B56" i="16"/>
  <c r="A55" i="16"/>
  <c r="G55" i="16"/>
  <c r="B55" i="16"/>
  <c r="A60" i="21"/>
  <c r="A54" i="16"/>
  <c r="G54" i="16" s="1"/>
  <c r="B54" i="16"/>
  <c r="A53" i="16"/>
  <c r="G53" i="16"/>
  <c r="B53" i="16"/>
  <c r="A58" i="21"/>
  <c r="A52" i="16"/>
  <c r="G52" i="16" s="1"/>
  <c r="B52" i="16"/>
  <c r="A51" i="16"/>
  <c r="G51" i="16"/>
  <c r="B51" i="16"/>
  <c r="A56" i="21"/>
  <c r="A50" i="16"/>
  <c r="G50" i="16" s="1"/>
  <c r="B50" i="16"/>
  <c r="A49" i="16"/>
  <c r="G49" i="16"/>
  <c r="B49" i="16"/>
  <c r="A54" i="21"/>
  <c r="A48" i="16"/>
  <c r="G48" i="16" s="1"/>
  <c r="B48" i="16"/>
  <c r="A47" i="16"/>
  <c r="G47" i="16"/>
  <c r="B47" i="16"/>
  <c r="A52" i="21"/>
  <c r="A46" i="16"/>
  <c r="G46" i="16" s="1"/>
  <c r="B46" i="16"/>
  <c r="A45" i="16"/>
  <c r="G45" i="16"/>
  <c r="B45" i="16"/>
  <c r="A50" i="21"/>
  <c r="A44" i="16"/>
  <c r="G44" i="16" s="1"/>
  <c r="B44" i="16"/>
  <c r="A43" i="16"/>
  <c r="G43" i="16"/>
  <c r="B43" i="16"/>
  <c r="A48" i="21"/>
  <c r="A42" i="16"/>
  <c r="G42" i="16" s="1"/>
  <c r="B42" i="16"/>
  <c r="A41" i="16"/>
  <c r="G41" i="16"/>
  <c r="B41" i="16"/>
  <c r="A46" i="21"/>
  <c r="A40" i="16"/>
  <c r="G40" i="16" s="1"/>
  <c r="B40" i="16"/>
  <c r="A39" i="16"/>
  <c r="G39" i="16"/>
  <c r="B39" i="16"/>
  <c r="A44" i="21"/>
  <c r="A38" i="16"/>
  <c r="G38" i="16" s="1"/>
  <c r="B38" i="16"/>
  <c r="A37" i="16"/>
  <c r="G37" i="16"/>
  <c r="B37" i="16"/>
  <c r="A42" i="21"/>
  <c r="A36" i="16"/>
  <c r="G36" i="16" s="1"/>
  <c r="B36" i="16"/>
  <c r="A35" i="16"/>
  <c r="G35" i="16"/>
  <c r="B35" i="16"/>
  <c r="A40" i="21"/>
  <c r="A34" i="16"/>
  <c r="G34" i="16" s="1"/>
  <c r="B34" i="16"/>
  <c r="A33" i="16"/>
  <c r="G33" i="16"/>
  <c r="B33" i="16"/>
  <c r="A38" i="21"/>
  <c r="A32" i="16"/>
  <c r="G32" i="16" s="1"/>
  <c r="B32" i="16"/>
  <c r="A31" i="16"/>
  <c r="G31" i="16"/>
  <c r="B31" i="16"/>
  <c r="A36" i="21"/>
  <c r="A30" i="16"/>
  <c r="G30" i="16" s="1"/>
  <c r="B30" i="16"/>
  <c r="A29" i="16"/>
  <c r="G29" i="16"/>
  <c r="B29" i="16"/>
  <c r="A34" i="21"/>
  <c r="A28" i="16"/>
  <c r="G28" i="16" s="1"/>
  <c r="B28" i="16"/>
  <c r="A27" i="16"/>
  <c r="G27" i="16"/>
  <c r="B27" i="16"/>
  <c r="A32" i="21"/>
  <c r="A26" i="16"/>
  <c r="G26" i="16" s="1"/>
  <c r="B26" i="16"/>
  <c r="A25" i="16"/>
  <c r="G25" i="16"/>
  <c r="B25" i="16"/>
  <c r="A30" i="21"/>
  <c r="A24" i="16"/>
  <c r="G24" i="16" s="1"/>
  <c r="B24" i="16"/>
  <c r="A23" i="16"/>
  <c r="G23" i="16"/>
  <c r="B23" i="16"/>
  <c r="A28" i="21"/>
  <c r="A22" i="16"/>
  <c r="G22" i="16" s="1"/>
  <c r="B22" i="16"/>
  <c r="A21" i="16"/>
  <c r="G21" i="16"/>
  <c r="B21" i="16"/>
  <c r="A26" i="21"/>
  <c r="A20" i="16"/>
  <c r="G20" i="16" s="1"/>
  <c r="B20" i="16"/>
  <c r="A19" i="16"/>
  <c r="G19" i="16"/>
  <c r="B19" i="16"/>
  <c r="A24" i="21"/>
  <c r="A18" i="16"/>
  <c r="G18" i="16" s="1"/>
  <c r="B18" i="16"/>
  <c r="A17" i="16"/>
  <c r="G17" i="16"/>
  <c r="B17" i="16"/>
  <c r="A22" i="21"/>
  <c r="A16" i="16"/>
  <c r="G16" i="16" s="1"/>
  <c r="B16" i="16"/>
  <c r="A15" i="16"/>
  <c r="G15" i="16"/>
  <c r="B15" i="16"/>
  <c r="A20" i="21"/>
  <c r="A14" i="16"/>
  <c r="G14" i="16" s="1"/>
  <c r="B14" i="16"/>
  <c r="A13" i="16"/>
  <c r="G13" i="16"/>
  <c r="B13" i="16"/>
  <c r="A18" i="21"/>
  <c r="A12" i="16"/>
  <c r="G12" i="16" s="1"/>
  <c r="B12" i="16"/>
  <c r="A11" i="16"/>
  <c r="G11" i="16"/>
  <c r="B11" i="16"/>
  <c r="A16" i="21"/>
  <c r="A10" i="16"/>
  <c r="G10" i="16" s="1"/>
  <c r="B10" i="16"/>
  <c r="A9" i="16"/>
  <c r="G9" i="16"/>
  <c r="B9" i="16"/>
  <c r="A14" i="21"/>
  <c r="A8" i="16"/>
  <c r="B8" i="16"/>
  <c r="F11" i="21"/>
  <c r="A12" i="21"/>
  <c r="B11" i="21"/>
  <c r="K16" i="19"/>
  <c r="L16" i="19"/>
  <c r="M13" i="19"/>
  <c r="M184" i="19" s="1"/>
  <c r="N13" i="19"/>
  <c r="N16" i="19" s="1"/>
  <c r="O13" i="19"/>
  <c r="O54" i="19" s="1"/>
  <c r="P16" i="19"/>
  <c r="Q13" i="19"/>
  <c r="Q16" i="19" s="1"/>
  <c r="C24" i="15"/>
  <c r="B3" i="16"/>
  <c r="A3" i="16"/>
  <c r="B2" i="16"/>
  <c r="A2" i="16"/>
  <c r="A1" i="16"/>
  <c r="B13" i="15"/>
  <c r="B14" i="15" s="1"/>
  <c r="D48" i="17"/>
  <c r="C48" i="17"/>
  <c r="B48" i="17"/>
  <c r="B2" i="15"/>
  <c r="B3" i="15"/>
  <c r="A3" i="15"/>
  <c r="A2" i="15"/>
  <c r="A1" i="15"/>
  <c r="C17" i="15"/>
  <c r="P216" i="19"/>
  <c r="L216" i="19"/>
  <c r="K216" i="19"/>
  <c r="P215" i="19"/>
  <c r="L215" i="19"/>
  <c r="K215" i="19"/>
  <c r="P214" i="19"/>
  <c r="L214" i="19"/>
  <c r="K214" i="19"/>
  <c r="P213" i="19"/>
  <c r="L213" i="19"/>
  <c r="K213" i="19"/>
  <c r="P212" i="19"/>
  <c r="L212" i="19"/>
  <c r="K212" i="19"/>
  <c r="P211" i="19"/>
  <c r="L211" i="19"/>
  <c r="K211" i="19"/>
  <c r="P210" i="19"/>
  <c r="L210" i="19"/>
  <c r="K210" i="19"/>
  <c r="P209" i="19"/>
  <c r="L209" i="19"/>
  <c r="K209" i="19"/>
  <c r="P208" i="19"/>
  <c r="L208" i="19"/>
  <c r="K208" i="19"/>
  <c r="P207" i="19"/>
  <c r="L207" i="19"/>
  <c r="K207" i="19"/>
  <c r="P206" i="19"/>
  <c r="L206" i="19"/>
  <c r="K206" i="19"/>
  <c r="P205" i="19"/>
  <c r="L205" i="19"/>
  <c r="K205" i="19"/>
  <c r="P204" i="19"/>
  <c r="L204" i="19"/>
  <c r="K204" i="19"/>
  <c r="P203" i="19"/>
  <c r="L203" i="19"/>
  <c r="K203" i="19"/>
  <c r="P202" i="19"/>
  <c r="L202" i="19"/>
  <c r="K202" i="19"/>
  <c r="P201" i="19"/>
  <c r="L201" i="19"/>
  <c r="K201" i="19"/>
  <c r="P200" i="19"/>
  <c r="L200" i="19"/>
  <c r="K200" i="19"/>
  <c r="P199" i="19"/>
  <c r="L199" i="19"/>
  <c r="K199" i="19"/>
  <c r="P198" i="19"/>
  <c r="L198" i="19"/>
  <c r="K198" i="19"/>
  <c r="P197" i="19"/>
  <c r="L197" i="19"/>
  <c r="K197" i="19"/>
  <c r="P196" i="19"/>
  <c r="L196" i="19"/>
  <c r="K196" i="19"/>
  <c r="P195" i="19"/>
  <c r="L195" i="19"/>
  <c r="K195" i="19"/>
  <c r="P194" i="19"/>
  <c r="L194" i="19"/>
  <c r="K194" i="19"/>
  <c r="P193" i="19"/>
  <c r="L193" i="19"/>
  <c r="K193" i="19"/>
  <c r="P192" i="19"/>
  <c r="L192" i="19"/>
  <c r="K192" i="19"/>
  <c r="P191" i="19"/>
  <c r="L191" i="19"/>
  <c r="K191" i="19"/>
  <c r="P190" i="19"/>
  <c r="L190" i="19"/>
  <c r="K190" i="19"/>
  <c r="P189" i="19"/>
  <c r="L189" i="19"/>
  <c r="K189" i="19"/>
  <c r="P188" i="19"/>
  <c r="L188" i="19"/>
  <c r="K188" i="19"/>
  <c r="P187" i="19"/>
  <c r="L187" i="19"/>
  <c r="K187" i="19"/>
  <c r="P186" i="19"/>
  <c r="L186" i="19"/>
  <c r="K186" i="19"/>
  <c r="P185" i="19"/>
  <c r="L185" i="19"/>
  <c r="K185" i="19"/>
  <c r="P184" i="19"/>
  <c r="L184" i="19"/>
  <c r="K184" i="19"/>
  <c r="P183" i="19"/>
  <c r="L183" i="19"/>
  <c r="K183" i="19"/>
  <c r="P182" i="19"/>
  <c r="L182" i="19"/>
  <c r="K182" i="19"/>
  <c r="P181" i="19"/>
  <c r="L181" i="19"/>
  <c r="K181" i="19"/>
  <c r="P180" i="19"/>
  <c r="L180" i="19"/>
  <c r="K180" i="19"/>
  <c r="P179" i="19"/>
  <c r="L179" i="19"/>
  <c r="K179" i="19"/>
  <c r="P178" i="19"/>
  <c r="L178" i="19"/>
  <c r="K178" i="19"/>
  <c r="P177" i="19"/>
  <c r="L177" i="19"/>
  <c r="K177" i="19"/>
  <c r="P176" i="19"/>
  <c r="L176" i="19"/>
  <c r="K176" i="19"/>
  <c r="P175" i="19"/>
  <c r="L175" i="19"/>
  <c r="K175" i="19"/>
  <c r="P174" i="19"/>
  <c r="L174" i="19"/>
  <c r="K174" i="19"/>
  <c r="P173" i="19"/>
  <c r="L173" i="19"/>
  <c r="K173" i="19"/>
  <c r="P172" i="19"/>
  <c r="L172" i="19"/>
  <c r="K172" i="19"/>
  <c r="P171" i="19"/>
  <c r="L171" i="19"/>
  <c r="K171" i="19"/>
  <c r="P170" i="19"/>
  <c r="L170" i="19"/>
  <c r="K170" i="19"/>
  <c r="P169" i="19"/>
  <c r="L169" i="19"/>
  <c r="K169" i="19"/>
  <c r="P168" i="19"/>
  <c r="L168" i="19"/>
  <c r="K168" i="19"/>
  <c r="P167" i="19"/>
  <c r="L167" i="19"/>
  <c r="K167" i="19"/>
  <c r="P166" i="19"/>
  <c r="L166" i="19"/>
  <c r="K166" i="19"/>
  <c r="P165" i="19"/>
  <c r="L165" i="19"/>
  <c r="K165" i="19"/>
  <c r="P164" i="19"/>
  <c r="L164" i="19"/>
  <c r="K164" i="19"/>
  <c r="P163" i="19"/>
  <c r="L163" i="19"/>
  <c r="K163" i="19"/>
  <c r="P162" i="19"/>
  <c r="L162" i="19"/>
  <c r="K162" i="19"/>
  <c r="P161" i="19"/>
  <c r="L161" i="19"/>
  <c r="K161" i="19"/>
  <c r="P160" i="19"/>
  <c r="L160" i="19"/>
  <c r="K160" i="19"/>
  <c r="P159" i="19"/>
  <c r="L159" i="19"/>
  <c r="K159" i="19"/>
  <c r="P158" i="19"/>
  <c r="L158" i="19"/>
  <c r="K158" i="19"/>
  <c r="P157" i="19"/>
  <c r="L157" i="19"/>
  <c r="K157" i="19"/>
  <c r="P156" i="19"/>
  <c r="L156" i="19"/>
  <c r="K156" i="19"/>
  <c r="P155" i="19"/>
  <c r="L155" i="19"/>
  <c r="K155" i="19"/>
  <c r="P154" i="19"/>
  <c r="L154" i="19"/>
  <c r="K154" i="19"/>
  <c r="P153" i="19"/>
  <c r="L153" i="19"/>
  <c r="K153" i="19"/>
  <c r="P152" i="19"/>
  <c r="L152" i="19"/>
  <c r="K152" i="19"/>
  <c r="P151" i="19"/>
  <c r="L151" i="19"/>
  <c r="K151" i="19"/>
  <c r="P150" i="19"/>
  <c r="L150" i="19"/>
  <c r="K150" i="19"/>
  <c r="P149" i="19"/>
  <c r="L149" i="19"/>
  <c r="K149" i="19"/>
  <c r="P148" i="19"/>
  <c r="L148" i="19"/>
  <c r="K148" i="19"/>
  <c r="P147" i="19"/>
  <c r="L147" i="19"/>
  <c r="K147" i="19"/>
  <c r="P146" i="19"/>
  <c r="L146" i="19"/>
  <c r="K146" i="19"/>
  <c r="P145" i="19"/>
  <c r="L145" i="19"/>
  <c r="K145" i="19"/>
  <c r="P144" i="19"/>
  <c r="L144" i="19"/>
  <c r="K144" i="19"/>
  <c r="P143" i="19"/>
  <c r="L143" i="19"/>
  <c r="K143" i="19"/>
  <c r="P142" i="19"/>
  <c r="L142" i="19"/>
  <c r="K142" i="19"/>
  <c r="P141" i="19"/>
  <c r="L141" i="19"/>
  <c r="K141" i="19"/>
  <c r="P140" i="19"/>
  <c r="L140" i="19"/>
  <c r="K140" i="19"/>
  <c r="P139" i="19"/>
  <c r="L139" i="19"/>
  <c r="K139" i="19"/>
  <c r="P138" i="19"/>
  <c r="N138" i="19"/>
  <c r="L138" i="19"/>
  <c r="K138" i="19"/>
  <c r="P137" i="19"/>
  <c r="L137" i="19"/>
  <c r="K137" i="19"/>
  <c r="P136" i="19"/>
  <c r="L136" i="19"/>
  <c r="K136" i="19"/>
  <c r="P135" i="19"/>
  <c r="L135" i="19"/>
  <c r="K135" i="19"/>
  <c r="P134" i="19"/>
  <c r="L134" i="19"/>
  <c r="K134" i="19"/>
  <c r="P133" i="19"/>
  <c r="L133" i="19"/>
  <c r="K133" i="19"/>
  <c r="P132" i="19"/>
  <c r="L132" i="19"/>
  <c r="K132" i="19"/>
  <c r="P131" i="19"/>
  <c r="L131" i="19"/>
  <c r="K131" i="19"/>
  <c r="P130" i="19"/>
  <c r="N130" i="19"/>
  <c r="L130" i="19"/>
  <c r="K130" i="19"/>
  <c r="P129" i="19"/>
  <c r="L129" i="19"/>
  <c r="K129" i="19"/>
  <c r="P128" i="19"/>
  <c r="L128" i="19"/>
  <c r="K128" i="19"/>
  <c r="P127" i="19"/>
  <c r="L127" i="19"/>
  <c r="K127" i="19"/>
  <c r="P126" i="19"/>
  <c r="L126" i="19"/>
  <c r="K126" i="19"/>
  <c r="P125" i="19"/>
  <c r="L125" i="19"/>
  <c r="K125" i="19"/>
  <c r="P124" i="19"/>
  <c r="L124" i="19"/>
  <c r="K124" i="19"/>
  <c r="P123" i="19"/>
  <c r="L123" i="19"/>
  <c r="K123" i="19"/>
  <c r="P122" i="19"/>
  <c r="L122" i="19"/>
  <c r="K122" i="19"/>
  <c r="P121" i="19"/>
  <c r="L121" i="19"/>
  <c r="K121" i="19"/>
  <c r="P120" i="19"/>
  <c r="L120" i="19"/>
  <c r="K120" i="19"/>
  <c r="P119" i="19"/>
  <c r="L119" i="19"/>
  <c r="K119" i="19"/>
  <c r="P118" i="19"/>
  <c r="L118" i="19"/>
  <c r="K118" i="19"/>
  <c r="P117" i="19"/>
  <c r="L117" i="19"/>
  <c r="K117" i="19"/>
  <c r="P116" i="19"/>
  <c r="L116" i="19"/>
  <c r="K116" i="19"/>
  <c r="P115" i="19"/>
  <c r="L115" i="19"/>
  <c r="K115" i="19"/>
  <c r="P114" i="19"/>
  <c r="L114" i="19"/>
  <c r="K114" i="19"/>
  <c r="P113" i="19"/>
  <c r="L113" i="19"/>
  <c r="K113" i="19"/>
  <c r="P112" i="19"/>
  <c r="L112" i="19"/>
  <c r="K112" i="19"/>
  <c r="P111" i="19"/>
  <c r="L111" i="19"/>
  <c r="K111" i="19"/>
  <c r="P110" i="19"/>
  <c r="L110" i="19"/>
  <c r="K110" i="19"/>
  <c r="P109" i="19"/>
  <c r="L109" i="19"/>
  <c r="K109" i="19"/>
  <c r="P108" i="19"/>
  <c r="L108" i="19"/>
  <c r="K108" i="19"/>
  <c r="P107" i="19"/>
  <c r="L107" i="19"/>
  <c r="K107" i="19"/>
  <c r="P106" i="19"/>
  <c r="L106" i="19"/>
  <c r="K106" i="19"/>
  <c r="P105" i="19"/>
  <c r="L105" i="19"/>
  <c r="K105" i="19"/>
  <c r="P104" i="19"/>
  <c r="L104" i="19"/>
  <c r="K104" i="19"/>
  <c r="P103" i="19"/>
  <c r="L103" i="19"/>
  <c r="K103" i="19"/>
  <c r="P102" i="19"/>
  <c r="L102" i="19"/>
  <c r="K102" i="19"/>
  <c r="P101" i="19"/>
  <c r="L101" i="19"/>
  <c r="K101" i="19"/>
  <c r="P100" i="19"/>
  <c r="L100" i="19"/>
  <c r="K100" i="19"/>
  <c r="P99" i="19"/>
  <c r="L99" i="19"/>
  <c r="K99" i="19"/>
  <c r="P98" i="19"/>
  <c r="N98" i="19"/>
  <c r="L98" i="19"/>
  <c r="K98" i="19"/>
  <c r="P97" i="19"/>
  <c r="L97" i="19"/>
  <c r="K97" i="19"/>
  <c r="P96" i="19"/>
  <c r="L96" i="19"/>
  <c r="K96" i="19"/>
  <c r="P95" i="19"/>
  <c r="L95" i="19"/>
  <c r="K95" i="19"/>
  <c r="P94" i="19"/>
  <c r="L94" i="19"/>
  <c r="K94" i="19"/>
  <c r="P93" i="19"/>
  <c r="L93" i="19"/>
  <c r="K93" i="19"/>
  <c r="P92" i="19"/>
  <c r="L92" i="19"/>
  <c r="K92" i="19"/>
  <c r="P91" i="19"/>
  <c r="L91" i="19"/>
  <c r="K91" i="19"/>
  <c r="Q90" i="19"/>
  <c r="P90" i="19"/>
  <c r="L90" i="19"/>
  <c r="K90" i="19"/>
  <c r="Q89" i="19"/>
  <c r="P89" i="19"/>
  <c r="L89" i="19"/>
  <c r="K89" i="19"/>
  <c r="P88" i="19"/>
  <c r="L88" i="19"/>
  <c r="K88" i="19"/>
  <c r="P87" i="19"/>
  <c r="L87" i="19"/>
  <c r="K87" i="19"/>
  <c r="P86" i="19"/>
  <c r="L86" i="19"/>
  <c r="K86" i="19"/>
  <c r="P85" i="19"/>
  <c r="L85" i="19"/>
  <c r="K85" i="19"/>
  <c r="P84" i="19"/>
  <c r="L84" i="19"/>
  <c r="K84" i="19"/>
  <c r="P83" i="19"/>
  <c r="L83" i="19"/>
  <c r="K83" i="19"/>
  <c r="P82" i="19"/>
  <c r="L82" i="19"/>
  <c r="K82" i="19"/>
  <c r="P81" i="19"/>
  <c r="L81" i="19"/>
  <c r="K81" i="19"/>
  <c r="P80" i="19"/>
  <c r="L80" i="19"/>
  <c r="K80" i="19"/>
  <c r="P79" i="19"/>
  <c r="L79" i="19"/>
  <c r="K79" i="19"/>
  <c r="P78" i="19"/>
  <c r="L78" i="19"/>
  <c r="K78" i="19"/>
  <c r="P77" i="19"/>
  <c r="L77" i="19"/>
  <c r="K77" i="19"/>
  <c r="P76" i="19"/>
  <c r="L76" i="19"/>
  <c r="K76" i="19"/>
  <c r="P75" i="19"/>
  <c r="L75" i="19"/>
  <c r="K75" i="19"/>
  <c r="Q74" i="19"/>
  <c r="P74" i="19"/>
  <c r="L74" i="19"/>
  <c r="K74" i="19"/>
  <c r="Q73" i="19"/>
  <c r="P73" i="19"/>
  <c r="L73" i="19"/>
  <c r="K73" i="19"/>
  <c r="P72" i="19"/>
  <c r="L72" i="19"/>
  <c r="K72" i="19"/>
  <c r="P71" i="19"/>
  <c r="L71" i="19"/>
  <c r="K71" i="19"/>
  <c r="P70" i="19"/>
  <c r="L70" i="19"/>
  <c r="K70" i="19"/>
  <c r="P69" i="19"/>
  <c r="L69" i="19"/>
  <c r="K69" i="19"/>
  <c r="P68" i="19"/>
  <c r="L68" i="19"/>
  <c r="K68" i="19"/>
  <c r="P67" i="19"/>
  <c r="L67" i="19"/>
  <c r="K67" i="19"/>
  <c r="P66" i="19"/>
  <c r="L66" i="19"/>
  <c r="K66" i="19"/>
  <c r="P65" i="19"/>
  <c r="L65" i="19"/>
  <c r="K65" i="19"/>
  <c r="P64" i="19"/>
  <c r="L64" i="19"/>
  <c r="K64" i="19"/>
  <c r="P63" i="19"/>
  <c r="L63" i="19"/>
  <c r="K63" i="19"/>
  <c r="Q62" i="19"/>
  <c r="P62" i="19"/>
  <c r="L62" i="19"/>
  <c r="K62" i="19"/>
  <c r="Q61" i="19"/>
  <c r="P61" i="19"/>
  <c r="L61" i="19"/>
  <c r="K61" i="19"/>
  <c r="P60" i="19"/>
  <c r="L60" i="19"/>
  <c r="K60" i="19"/>
  <c r="P59" i="19"/>
  <c r="L59" i="19"/>
  <c r="K59" i="19"/>
  <c r="P58" i="19"/>
  <c r="L58" i="19"/>
  <c r="K58" i="19"/>
  <c r="P57" i="19"/>
  <c r="L57" i="19"/>
  <c r="K57" i="19"/>
  <c r="P56" i="19"/>
  <c r="L56" i="19"/>
  <c r="K56" i="19"/>
  <c r="P55" i="19"/>
  <c r="L55" i="19"/>
  <c r="K55" i="19"/>
  <c r="P54" i="19"/>
  <c r="L54" i="19"/>
  <c r="K54" i="19"/>
  <c r="P53" i="19"/>
  <c r="L53" i="19"/>
  <c r="K53" i="19"/>
  <c r="P52" i="19"/>
  <c r="N52" i="19"/>
  <c r="L52" i="19"/>
  <c r="K52" i="19"/>
  <c r="P51" i="19"/>
  <c r="L51" i="19"/>
  <c r="K51" i="19"/>
  <c r="P50" i="19"/>
  <c r="L50" i="19"/>
  <c r="K50" i="19"/>
  <c r="P49" i="19"/>
  <c r="L49" i="19"/>
  <c r="K49" i="19"/>
  <c r="P48" i="19"/>
  <c r="L48" i="19"/>
  <c r="K48" i="19"/>
  <c r="P47" i="19"/>
  <c r="L47" i="19"/>
  <c r="K47" i="19"/>
  <c r="P46" i="19"/>
  <c r="L46" i="19"/>
  <c r="K46" i="19"/>
  <c r="P45" i="19"/>
  <c r="L45" i="19"/>
  <c r="K45" i="19"/>
  <c r="P44" i="19"/>
  <c r="L44" i="19"/>
  <c r="K44" i="19"/>
  <c r="P43" i="19"/>
  <c r="L43" i="19"/>
  <c r="K43" i="19"/>
  <c r="P42" i="19"/>
  <c r="L42" i="19"/>
  <c r="K42" i="19"/>
  <c r="P41" i="19"/>
  <c r="L41" i="19"/>
  <c r="K41" i="19"/>
  <c r="P40" i="19"/>
  <c r="L40" i="19"/>
  <c r="K40" i="19"/>
  <c r="P39" i="19"/>
  <c r="L39" i="19"/>
  <c r="K39" i="19"/>
  <c r="P38" i="19"/>
  <c r="L38" i="19"/>
  <c r="K38" i="19"/>
  <c r="P37" i="19"/>
  <c r="L37" i="19"/>
  <c r="K37" i="19"/>
  <c r="P36" i="19"/>
  <c r="O36" i="19"/>
  <c r="L36" i="19"/>
  <c r="K36" i="19"/>
  <c r="P35" i="19"/>
  <c r="L35" i="19"/>
  <c r="K35" i="19"/>
  <c r="P34" i="19"/>
  <c r="L34" i="19"/>
  <c r="K34" i="19"/>
  <c r="P33" i="19"/>
  <c r="L33" i="19"/>
  <c r="K33" i="19"/>
  <c r="P32" i="19"/>
  <c r="L32" i="19"/>
  <c r="K32" i="19"/>
  <c r="P31" i="19"/>
  <c r="L31" i="19"/>
  <c r="K31" i="19"/>
  <c r="P30" i="19"/>
  <c r="L30" i="19"/>
  <c r="K30" i="19"/>
  <c r="P29" i="19"/>
  <c r="L29" i="19"/>
  <c r="K29" i="19"/>
  <c r="P28" i="19"/>
  <c r="L28" i="19"/>
  <c r="K28" i="19"/>
  <c r="P27" i="19"/>
  <c r="L27" i="19"/>
  <c r="K27" i="19"/>
  <c r="P26" i="19"/>
  <c r="L26" i="19"/>
  <c r="K26" i="19"/>
  <c r="P25" i="19"/>
  <c r="L25" i="19"/>
  <c r="K25" i="19"/>
  <c r="P24" i="19"/>
  <c r="L24" i="19"/>
  <c r="K24" i="19"/>
  <c r="P23" i="19"/>
  <c r="N23" i="19"/>
  <c r="L23" i="19"/>
  <c r="K23" i="19"/>
  <c r="P22" i="19"/>
  <c r="N22" i="19"/>
  <c r="L22" i="19"/>
  <c r="K22" i="19"/>
  <c r="P21" i="19"/>
  <c r="N21" i="19"/>
  <c r="L21" i="19"/>
  <c r="K21" i="19"/>
  <c r="Q20" i="19"/>
  <c r="P20" i="19"/>
  <c r="L20" i="19"/>
  <c r="K20" i="19"/>
  <c r="Q19" i="19"/>
  <c r="P19" i="19"/>
  <c r="L19" i="19"/>
  <c r="K19" i="19"/>
  <c r="P18" i="19"/>
  <c r="O18" i="19"/>
  <c r="L18" i="19"/>
  <c r="K18" i="19"/>
  <c r="P17" i="19"/>
  <c r="L17" i="19"/>
  <c r="K17" i="19"/>
  <c r="O52" i="19" l="1"/>
  <c r="N66" i="19"/>
  <c r="N162" i="19"/>
  <c r="G99" i="16"/>
  <c r="A106" i="21"/>
  <c r="G103" i="16"/>
  <c r="A110" i="21"/>
  <c r="G107" i="16"/>
  <c r="A114" i="21"/>
  <c r="G111" i="16"/>
  <c r="A118" i="21"/>
  <c r="G115" i="16"/>
  <c r="A122" i="21"/>
  <c r="G119" i="16"/>
  <c r="A126" i="21"/>
  <c r="G123" i="16"/>
  <c r="A130" i="21"/>
  <c r="G127" i="16"/>
  <c r="A134" i="21"/>
  <c r="G131" i="16"/>
  <c r="A138" i="21"/>
  <c r="G135" i="16"/>
  <c r="A142" i="21"/>
  <c r="G139" i="16"/>
  <c r="A146" i="21"/>
  <c r="G143" i="16"/>
  <c r="A150" i="21"/>
  <c r="A151" i="21"/>
  <c r="G148" i="16"/>
  <c r="A155" i="21"/>
  <c r="G152" i="16"/>
  <c r="A159" i="21"/>
  <c r="G156" i="16"/>
  <c r="A163" i="21"/>
  <c r="G160" i="16"/>
  <c r="A167" i="21"/>
  <c r="G164" i="16"/>
  <c r="A171" i="21"/>
  <c r="G168" i="16"/>
  <c r="A175" i="21"/>
  <c r="G172" i="16"/>
  <c r="A179" i="21"/>
  <c r="G176" i="16"/>
  <c r="A183" i="21"/>
  <c r="G180" i="16"/>
  <c r="A187" i="21"/>
  <c r="G184" i="16"/>
  <c r="A191" i="21"/>
  <c r="G188" i="16"/>
  <c r="G193" i="16"/>
  <c r="A200" i="21"/>
  <c r="G197" i="16"/>
  <c r="A204" i="21"/>
  <c r="G201" i="16"/>
  <c r="A208" i="21"/>
  <c r="G205" i="16"/>
  <c r="A212" i="21"/>
  <c r="Q24" i="19"/>
  <c r="Q50" i="19"/>
  <c r="Q106" i="19"/>
  <c r="Q122" i="19"/>
  <c r="Q150" i="19"/>
  <c r="M18" i="19"/>
  <c r="Q53" i="19"/>
  <c r="Q54" i="19"/>
  <c r="Q81" i="19"/>
  <c r="Q82" i="19"/>
  <c r="Q97" i="19"/>
  <c r="A195" i="21"/>
  <c r="I143" i="16"/>
  <c r="Q23" i="19"/>
  <c r="Q51" i="19"/>
  <c r="Q105" i="19"/>
  <c r="Q121" i="19"/>
  <c r="Q133" i="19"/>
  <c r="Q149" i="19"/>
  <c r="M17" i="19"/>
  <c r="Q66" i="19"/>
  <c r="Q31" i="19"/>
  <c r="Q32" i="19"/>
  <c r="Q42" i="19"/>
  <c r="Q43" i="19"/>
  <c r="Q98" i="19"/>
  <c r="Q113" i="19"/>
  <c r="Q114" i="19"/>
  <c r="Q129" i="19"/>
  <c r="Q141" i="19"/>
  <c r="Q142" i="19"/>
  <c r="Q157" i="19"/>
  <c r="Q158" i="19"/>
  <c r="C30" i="21"/>
  <c r="Q38" i="19"/>
  <c r="Q39" i="19"/>
  <c r="Q46" i="19"/>
  <c r="Q47" i="19"/>
  <c r="Q69" i="19"/>
  <c r="Q70" i="19"/>
  <c r="Q77" i="19"/>
  <c r="Q78" i="19"/>
  <c r="Q85" i="19"/>
  <c r="Q86" i="19"/>
  <c r="Q93" i="19"/>
  <c r="Q94" i="19"/>
  <c r="Q130" i="19"/>
  <c r="Q137" i="19"/>
  <c r="Q165" i="19"/>
  <c r="Q166" i="19"/>
  <c r="Q173" i="19"/>
  <c r="Q174" i="19"/>
  <c r="Q181" i="19"/>
  <c r="Q182" i="19"/>
  <c r="Q189" i="19"/>
  <c r="Q190" i="19"/>
  <c r="Q197" i="19"/>
  <c r="Q198" i="19"/>
  <c r="Q205" i="19"/>
  <c r="Q206" i="19"/>
  <c r="Q207" i="19"/>
  <c r="Q17" i="19"/>
  <c r="Q27" i="19"/>
  <c r="Q28" i="19"/>
  <c r="Q35" i="19"/>
  <c r="Q57" i="19"/>
  <c r="Q58" i="19"/>
  <c r="Q65" i="19"/>
  <c r="Q101" i="19"/>
  <c r="Q102" i="19"/>
  <c r="Q109" i="19"/>
  <c r="Q110" i="19"/>
  <c r="Q117" i="19"/>
  <c r="Q118" i="19"/>
  <c r="Q125" i="19"/>
  <c r="Q126" i="19"/>
  <c r="Q138" i="19"/>
  <c r="Q145" i="19"/>
  <c r="Q146" i="19"/>
  <c r="Q153" i="19"/>
  <c r="Q154" i="19"/>
  <c r="Q161" i="19"/>
  <c r="Q134" i="19"/>
  <c r="Q162" i="19"/>
  <c r="Q169" i="19"/>
  <c r="Q170" i="19"/>
  <c r="Q177" i="19"/>
  <c r="Q178" i="19"/>
  <c r="Q185" i="19"/>
  <c r="Q186" i="19"/>
  <c r="Q193" i="19"/>
  <c r="Q194" i="19"/>
  <c r="Q201" i="19"/>
  <c r="Q202" i="19"/>
  <c r="Q214" i="19"/>
  <c r="Q215" i="19"/>
  <c r="N44" i="19"/>
  <c r="N45" i="19"/>
  <c r="N46" i="19"/>
  <c r="N74" i="19"/>
  <c r="N106" i="19"/>
  <c r="N37" i="19"/>
  <c r="N38" i="19"/>
  <c r="N82" i="19"/>
  <c r="N114" i="19"/>
  <c r="N146" i="19"/>
  <c r="N194" i="19"/>
  <c r="N29" i="19"/>
  <c r="N30" i="19"/>
  <c r="N31" i="19"/>
  <c r="N58" i="19"/>
  <c r="N90" i="19"/>
  <c r="N122" i="19"/>
  <c r="N154" i="19"/>
  <c r="N178" i="19"/>
  <c r="N170" i="19"/>
  <c r="N186" i="19"/>
  <c r="N202" i="19"/>
  <c r="N212" i="19"/>
  <c r="N213" i="19"/>
  <c r="N214" i="19"/>
  <c r="N25" i="19"/>
  <c r="N26" i="19"/>
  <c r="N27" i="19"/>
  <c r="N40" i="19"/>
  <c r="N41" i="19"/>
  <c r="N42" i="19"/>
  <c r="N54" i="19"/>
  <c r="N70" i="19"/>
  <c r="N86" i="19"/>
  <c r="N102" i="19"/>
  <c r="N118" i="19"/>
  <c r="N134" i="19"/>
  <c r="N150" i="19"/>
  <c r="N166" i="19"/>
  <c r="N182" i="19"/>
  <c r="N198" i="19"/>
  <c r="N19" i="19"/>
  <c r="N33" i="19"/>
  <c r="N34" i="19"/>
  <c r="N35" i="19"/>
  <c r="N48" i="19"/>
  <c r="N49" i="19"/>
  <c r="N50" i="19"/>
  <c r="N62" i="19"/>
  <c r="N78" i="19"/>
  <c r="N94" i="19"/>
  <c r="N110" i="19"/>
  <c r="N126" i="19"/>
  <c r="N142" i="19"/>
  <c r="N158" i="19"/>
  <c r="N174" i="19"/>
  <c r="N190" i="19"/>
  <c r="N206" i="19"/>
  <c r="E173" i="16"/>
  <c r="E227" i="16"/>
  <c r="N18" i="19"/>
  <c r="N24" i="19"/>
  <c r="N32" i="19"/>
  <c r="N39" i="19"/>
  <c r="N47" i="19"/>
  <c r="N53" i="19"/>
  <c r="N59" i="19"/>
  <c r="N60" i="19"/>
  <c r="N61" i="19"/>
  <c r="N67" i="19"/>
  <c r="N68" i="19"/>
  <c r="N69" i="19"/>
  <c r="N75" i="19"/>
  <c r="N76" i="19"/>
  <c r="N77" i="19"/>
  <c r="N83" i="19"/>
  <c r="N84" i="19"/>
  <c r="N85" i="19"/>
  <c r="N91" i="19"/>
  <c r="N92" i="19"/>
  <c r="N93" i="19"/>
  <c r="N99" i="19"/>
  <c r="N100" i="19"/>
  <c r="N101" i="19"/>
  <c r="N107" i="19"/>
  <c r="N108" i="19"/>
  <c r="N109" i="19"/>
  <c r="N115" i="19"/>
  <c r="N116" i="19"/>
  <c r="N117" i="19"/>
  <c r="N123" i="19"/>
  <c r="N124" i="19"/>
  <c r="N125" i="19"/>
  <c r="N131" i="19"/>
  <c r="N132" i="19"/>
  <c r="N133" i="19"/>
  <c r="N139" i="19"/>
  <c r="N140" i="19"/>
  <c r="N141" i="19"/>
  <c r="N147" i="19"/>
  <c r="N148" i="19"/>
  <c r="N149" i="19"/>
  <c r="N155" i="19"/>
  <c r="N156" i="19"/>
  <c r="N157" i="19"/>
  <c r="N163" i="19"/>
  <c r="N164" i="19"/>
  <c r="N165" i="19"/>
  <c r="N171" i="19"/>
  <c r="N172" i="19"/>
  <c r="N173" i="19"/>
  <c r="N179" i="19"/>
  <c r="N180" i="19"/>
  <c r="N181" i="19"/>
  <c r="N187" i="19"/>
  <c r="N188" i="19"/>
  <c r="N189" i="19"/>
  <c r="N195" i="19"/>
  <c r="N196" i="19"/>
  <c r="N197" i="19"/>
  <c r="N203" i="19"/>
  <c r="N204" i="19"/>
  <c r="N205" i="19"/>
  <c r="N17" i="19"/>
  <c r="N20" i="19"/>
  <c r="N28" i="19"/>
  <c r="N36" i="19"/>
  <c r="N43" i="19"/>
  <c r="N51" i="19"/>
  <c r="N55" i="19"/>
  <c r="N56" i="19"/>
  <c r="N57" i="19"/>
  <c r="N63" i="19"/>
  <c r="N64" i="19"/>
  <c r="N65" i="19"/>
  <c r="N71" i="19"/>
  <c r="N72" i="19"/>
  <c r="N73" i="19"/>
  <c r="N79" i="19"/>
  <c r="N80" i="19"/>
  <c r="N81" i="19"/>
  <c r="N87" i="19"/>
  <c r="N88" i="19"/>
  <c r="N89" i="19"/>
  <c r="N95" i="19"/>
  <c r="N96" i="19"/>
  <c r="N97" i="19"/>
  <c r="N103" i="19"/>
  <c r="N104" i="19"/>
  <c r="N105" i="19"/>
  <c r="N111" i="19"/>
  <c r="N112" i="19"/>
  <c r="N113" i="19"/>
  <c r="N119" i="19"/>
  <c r="N120" i="19"/>
  <c r="N121" i="19"/>
  <c r="N127" i="19"/>
  <c r="N128" i="19"/>
  <c r="N129" i="19"/>
  <c r="N135" i="19"/>
  <c r="N136" i="19"/>
  <c r="N137" i="19"/>
  <c r="N143" i="19"/>
  <c r="N144" i="19"/>
  <c r="N145" i="19"/>
  <c r="N151" i="19"/>
  <c r="N152" i="19"/>
  <c r="N153" i="19"/>
  <c r="N159" i="19"/>
  <c r="N160" i="19"/>
  <c r="N161" i="19"/>
  <c r="N167" i="19"/>
  <c r="N168" i="19"/>
  <c r="N169" i="19"/>
  <c r="N175" i="19"/>
  <c r="N176" i="19"/>
  <c r="N177" i="19"/>
  <c r="N183" i="19"/>
  <c r="N184" i="19"/>
  <c r="N185" i="19"/>
  <c r="N191" i="19"/>
  <c r="N192" i="19"/>
  <c r="N193" i="19"/>
  <c r="N199" i="19"/>
  <c r="N200" i="19"/>
  <c r="N201" i="19"/>
  <c r="N208" i="19"/>
  <c r="N209" i="19"/>
  <c r="N210" i="19"/>
  <c r="Q21" i="19"/>
  <c r="Q25" i="19"/>
  <c r="Q29" i="19"/>
  <c r="Q33" i="19"/>
  <c r="Q36" i="19"/>
  <c r="Q40" i="19"/>
  <c r="Q44" i="19"/>
  <c r="Q48" i="19"/>
  <c r="Q55" i="19"/>
  <c r="Q59" i="19"/>
  <c r="Q63" i="19"/>
  <c r="Q67" i="19"/>
  <c r="Q71" i="19"/>
  <c r="Q75" i="19"/>
  <c r="Q79" i="19"/>
  <c r="Q83" i="19"/>
  <c r="Q87" i="19"/>
  <c r="Q91" i="19"/>
  <c r="Q95" i="19"/>
  <c r="Q99" i="19"/>
  <c r="Q103" i="19"/>
  <c r="Q107" i="19"/>
  <c r="Q111" i="19"/>
  <c r="Q115" i="19"/>
  <c r="Q119" i="19"/>
  <c r="Q123" i="19"/>
  <c r="Q127" i="19"/>
  <c r="Q131" i="19"/>
  <c r="Q135" i="19"/>
  <c r="Q139" i="19"/>
  <c r="Q143" i="19"/>
  <c r="Q147" i="19"/>
  <c r="Q151" i="19"/>
  <c r="Q155" i="19"/>
  <c r="Q159" i="19"/>
  <c r="Q163" i="19"/>
  <c r="Q167" i="19"/>
  <c r="Q171" i="19"/>
  <c r="Q175" i="19"/>
  <c r="Q179" i="19"/>
  <c r="Q183" i="19"/>
  <c r="Q187" i="19"/>
  <c r="Q191" i="19"/>
  <c r="Q195" i="19"/>
  <c r="Q199" i="19"/>
  <c r="Q203" i="19"/>
  <c r="Q208" i="19"/>
  <c r="Q18" i="19"/>
  <c r="Q22" i="19"/>
  <c r="Q26" i="19"/>
  <c r="Q30" i="19"/>
  <c r="Q34" i="19"/>
  <c r="Q37" i="19"/>
  <c r="Q41" i="19"/>
  <c r="Q45" i="19"/>
  <c r="Q49" i="19"/>
  <c r="Q52" i="19"/>
  <c r="Q56" i="19"/>
  <c r="Q60" i="19"/>
  <c r="Q64" i="19"/>
  <c r="Q68" i="19"/>
  <c r="Q72" i="19"/>
  <c r="Q76" i="19"/>
  <c r="Q80" i="19"/>
  <c r="Q84" i="19"/>
  <c r="Q88" i="19"/>
  <c r="Q92" i="19"/>
  <c r="Q96" i="19"/>
  <c r="Q100" i="19"/>
  <c r="Q104" i="19"/>
  <c r="Q108" i="19"/>
  <c r="Q112" i="19"/>
  <c r="Q116" i="19"/>
  <c r="Q120" i="19"/>
  <c r="Q124" i="19"/>
  <c r="Q128" i="19"/>
  <c r="Q132" i="19"/>
  <c r="Q136" i="19"/>
  <c r="Q140" i="19"/>
  <c r="Q144" i="19"/>
  <c r="Q148" i="19"/>
  <c r="Q152" i="19"/>
  <c r="Q156" i="19"/>
  <c r="Q160" i="19"/>
  <c r="Q164" i="19"/>
  <c r="Q168" i="19"/>
  <c r="Q172" i="19"/>
  <c r="Q176" i="19"/>
  <c r="Q180" i="19"/>
  <c r="Q184" i="19"/>
  <c r="Q188" i="19"/>
  <c r="Q192" i="19"/>
  <c r="Q196" i="19"/>
  <c r="Q200" i="19"/>
  <c r="Q204" i="19"/>
  <c r="Q209" i="19"/>
  <c r="Q213" i="19"/>
  <c r="E117" i="16"/>
  <c r="E64" i="16"/>
  <c r="E155" i="16"/>
  <c r="E67" i="16"/>
  <c r="E101" i="16"/>
  <c r="E131" i="16"/>
  <c r="E109" i="16"/>
  <c r="E125" i="16"/>
  <c r="E165" i="16"/>
  <c r="M21" i="19"/>
  <c r="O44" i="19"/>
  <c r="M22" i="19"/>
  <c r="M29" i="19"/>
  <c r="O60" i="19"/>
  <c r="E55" i="16"/>
  <c r="E56" i="16"/>
  <c r="E105" i="16"/>
  <c r="E121" i="16"/>
  <c r="E127" i="16"/>
  <c r="E161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113" i="16"/>
  <c r="E139" i="16"/>
  <c r="E149" i="16"/>
  <c r="E169" i="16"/>
  <c r="D126" i="16"/>
  <c r="I32" i="16"/>
  <c r="E62" i="16"/>
  <c r="E69" i="16"/>
  <c r="E99" i="16"/>
  <c r="E107" i="16"/>
  <c r="E115" i="16"/>
  <c r="E123" i="16"/>
  <c r="E137" i="16"/>
  <c r="E153" i="16"/>
  <c r="E167" i="16"/>
  <c r="E179" i="16"/>
  <c r="E184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103" i="16"/>
  <c r="E111" i="16"/>
  <c r="E119" i="16"/>
  <c r="E129" i="16"/>
  <c r="E157" i="16"/>
  <c r="E163" i="16"/>
  <c r="E171" i="16"/>
  <c r="I30" i="16"/>
  <c r="I14" i="16"/>
  <c r="I46" i="16"/>
  <c r="I98" i="16"/>
  <c r="I16" i="16"/>
  <c r="I48" i="16"/>
  <c r="I22" i="16"/>
  <c r="I38" i="16"/>
  <c r="D110" i="16"/>
  <c r="I112" i="16"/>
  <c r="D115" i="16"/>
  <c r="D118" i="16"/>
  <c r="I120" i="16"/>
  <c r="D123" i="16"/>
  <c r="I162" i="16"/>
  <c r="I163" i="16"/>
  <c r="I166" i="16"/>
  <c r="D167" i="16"/>
  <c r="I170" i="16"/>
  <c r="I9" i="16"/>
  <c r="D10" i="16"/>
  <c r="I24" i="16"/>
  <c r="I40" i="16"/>
  <c r="D102" i="16"/>
  <c r="I104" i="16"/>
  <c r="D107" i="16"/>
  <c r="D8" i="16"/>
  <c r="I10" i="16"/>
  <c r="I18" i="16"/>
  <c r="I26" i="16"/>
  <c r="I34" i="16"/>
  <c r="I42" i="16"/>
  <c r="I50" i="16"/>
  <c r="I64" i="16"/>
  <c r="D65" i="16"/>
  <c r="I69" i="16"/>
  <c r="I88" i="16"/>
  <c r="I92" i="16"/>
  <c r="I96" i="16"/>
  <c r="I103" i="16"/>
  <c r="I111" i="16"/>
  <c r="I119" i="16"/>
  <c r="I127" i="16"/>
  <c r="I144" i="16"/>
  <c r="I154" i="16"/>
  <c r="D155" i="16"/>
  <c r="I157" i="16"/>
  <c r="D158" i="16"/>
  <c r="D198" i="16"/>
  <c r="I231" i="16"/>
  <c r="D234" i="16"/>
  <c r="I235" i="16"/>
  <c r="D241" i="16"/>
  <c r="I8" i="16"/>
  <c r="I12" i="16"/>
  <c r="I20" i="16"/>
  <c r="I28" i="16"/>
  <c r="I36" i="16"/>
  <c r="I44" i="16"/>
  <c r="I52" i="16"/>
  <c r="D55" i="16"/>
  <c r="I63" i="16"/>
  <c r="I149" i="16"/>
  <c r="D150" i="16"/>
  <c r="I128" i="16"/>
  <c r="O22" i="19"/>
  <c r="O32" i="19"/>
  <c r="O40" i="19"/>
  <c r="O48" i="19"/>
  <c r="O56" i="19"/>
  <c r="M214" i="19"/>
  <c r="M212" i="19"/>
  <c r="M206" i="19"/>
  <c r="M201" i="19"/>
  <c r="M198" i="19"/>
  <c r="M193" i="19"/>
  <c r="M190" i="19"/>
  <c r="M182" i="19"/>
  <c r="M180" i="19"/>
  <c r="M178" i="19"/>
  <c r="M176" i="19"/>
  <c r="M174" i="19"/>
  <c r="M172" i="19"/>
  <c r="M170" i="19"/>
  <c r="M168" i="19"/>
  <c r="M166" i="19"/>
  <c r="M164" i="19"/>
  <c r="M162" i="19"/>
  <c r="M160" i="19"/>
  <c r="M158" i="19"/>
  <c r="M156" i="19"/>
  <c r="M154" i="19"/>
  <c r="M152" i="19"/>
  <c r="M150" i="19"/>
  <c r="M148" i="19"/>
  <c r="M146" i="19"/>
  <c r="M144" i="19"/>
  <c r="M142" i="19"/>
  <c r="M140" i="19"/>
  <c r="M138" i="19"/>
  <c r="M136" i="19"/>
  <c r="M134" i="19"/>
  <c r="M132" i="19"/>
  <c r="M130" i="19"/>
  <c r="M128" i="19"/>
  <c r="M126" i="19"/>
  <c r="M124" i="19"/>
  <c r="M122" i="19"/>
  <c r="M120" i="19"/>
  <c r="M118" i="19"/>
  <c r="M116" i="19"/>
  <c r="M114" i="19"/>
  <c r="M112" i="19"/>
  <c r="M110" i="19"/>
  <c r="M108" i="19"/>
  <c r="M106" i="19"/>
  <c r="M104" i="19"/>
  <c r="M102" i="19"/>
  <c r="M100" i="19"/>
  <c r="M98" i="19"/>
  <c r="M96" i="19"/>
  <c r="M94" i="19"/>
  <c r="M92" i="19"/>
  <c r="M90" i="19"/>
  <c r="M88" i="19"/>
  <c r="M86" i="19"/>
  <c r="M84" i="19"/>
  <c r="M82" i="19"/>
  <c r="M80" i="19"/>
  <c r="M78" i="19"/>
  <c r="M76" i="19"/>
  <c r="M74" i="19"/>
  <c r="M72" i="19"/>
  <c r="M70" i="19"/>
  <c r="M68" i="19"/>
  <c r="M66" i="19"/>
  <c r="M64" i="19"/>
  <c r="M62" i="19"/>
  <c r="M60" i="19"/>
  <c r="M58" i="19"/>
  <c r="M56" i="19"/>
  <c r="M54" i="19"/>
  <c r="M52" i="19"/>
  <c r="M50" i="19"/>
  <c r="M48" i="19"/>
  <c r="M46" i="19"/>
  <c r="M44" i="19"/>
  <c r="M42" i="19"/>
  <c r="M40" i="19"/>
  <c r="M38" i="19"/>
  <c r="M36" i="19"/>
  <c r="M34" i="19"/>
  <c r="M32" i="19"/>
  <c r="M30" i="19"/>
  <c r="M25" i="19"/>
  <c r="M208" i="19"/>
  <c r="M205" i="19"/>
  <c r="M202" i="19"/>
  <c r="M197" i="19"/>
  <c r="M194" i="19"/>
  <c r="M186" i="19"/>
  <c r="M20" i="19"/>
  <c r="M23" i="19"/>
  <c r="O24" i="19"/>
  <c r="M27" i="19"/>
  <c r="O28" i="19"/>
  <c r="O30" i="19"/>
  <c r="O38" i="19"/>
  <c r="O46" i="19"/>
  <c r="O29" i="19"/>
  <c r="O26" i="19"/>
  <c r="O180" i="19"/>
  <c r="O178" i="19"/>
  <c r="O176" i="19"/>
  <c r="O174" i="19"/>
  <c r="O172" i="19"/>
  <c r="O170" i="19"/>
  <c r="O168" i="19"/>
  <c r="O166" i="19"/>
  <c r="O164" i="19"/>
  <c r="O162" i="19"/>
  <c r="O160" i="19"/>
  <c r="O158" i="19"/>
  <c r="O156" i="19"/>
  <c r="O154" i="19"/>
  <c r="O152" i="19"/>
  <c r="O150" i="19"/>
  <c r="O148" i="19"/>
  <c r="O146" i="19"/>
  <c r="O144" i="19"/>
  <c r="O142" i="19"/>
  <c r="O140" i="19"/>
  <c r="O138" i="19"/>
  <c r="O136" i="19"/>
  <c r="O134" i="19"/>
  <c r="O132" i="19"/>
  <c r="O130" i="19"/>
  <c r="O128" i="19"/>
  <c r="O126" i="19"/>
  <c r="O124" i="19"/>
  <c r="O122" i="19"/>
  <c r="O120" i="19"/>
  <c r="O118" i="19"/>
  <c r="O116" i="19"/>
  <c r="O114" i="19"/>
  <c r="O112" i="19"/>
  <c r="O110" i="19"/>
  <c r="O108" i="19"/>
  <c r="O106" i="19"/>
  <c r="O104" i="19"/>
  <c r="O102" i="19"/>
  <c r="O100" i="19"/>
  <c r="O98" i="19"/>
  <c r="O96" i="19"/>
  <c r="O94" i="19"/>
  <c r="O92" i="19"/>
  <c r="O90" i="19"/>
  <c r="O88" i="19"/>
  <c r="O86" i="19"/>
  <c r="O84" i="19"/>
  <c r="O82" i="19"/>
  <c r="O80" i="19"/>
  <c r="O78" i="19"/>
  <c r="O76" i="19"/>
  <c r="O74" i="19"/>
  <c r="O72" i="19"/>
  <c r="O70" i="19"/>
  <c r="O68" i="19"/>
  <c r="O66" i="19"/>
  <c r="O64" i="19"/>
  <c r="O62" i="19"/>
  <c r="M19" i="19"/>
  <c r="O20" i="19"/>
  <c r="M24" i="19"/>
  <c r="M26" i="19"/>
  <c r="M28" i="19"/>
  <c r="O34" i="19"/>
  <c r="O42" i="19"/>
  <c r="O50" i="19"/>
  <c r="O58" i="19"/>
  <c r="M188" i="19"/>
  <c r="O182" i="19"/>
  <c r="O184" i="19"/>
  <c r="O186" i="19"/>
  <c r="O188" i="19"/>
  <c r="O190" i="19"/>
  <c r="O17" i="19"/>
  <c r="O21" i="19"/>
  <c r="O25" i="19"/>
  <c r="O216" i="19"/>
  <c r="O204" i="19"/>
  <c r="O200" i="19"/>
  <c r="O196" i="19"/>
  <c r="O192" i="19"/>
  <c r="O189" i="19"/>
  <c r="O185" i="19"/>
  <c r="O181" i="19"/>
  <c r="O177" i="19"/>
  <c r="O173" i="19"/>
  <c r="O169" i="19"/>
  <c r="O165" i="19"/>
  <c r="O161" i="19"/>
  <c r="O157" i="19"/>
  <c r="O153" i="19"/>
  <c r="O149" i="19"/>
  <c r="O145" i="19"/>
  <c r="O141" i="19"/>
  <c r="O137" i="19"/>
  <c r="O133" i="19"/>
  <c r="O129" i="19"/>
  <c r="O125" i="19"/>
  <c r="O121" i="19"/>
  <c r="O117" i="19"/>
  <c r="O113" i="19"/>
  <c r="O109" i="19"/>
  <c r="O105" i="19"/>
  <c r="O101" i="19"/>
  <c r="O97" i="19"/>
  <c r="O93" i="19"/>
  <c r="O89" i="19"/>
  <c r="O85" i="19"/>
  <c r="O81" i="19"/>
  <c r="O77" i="19"/>
  <c r="O73" i="19"/>
  <c r="O69" i="19"/>
  <c r="O65" i="19"/>
  <c r="O61" i="19"/>
  <c r="O57" i="19"/>
  <c r="O53" i="19"/>
  <c r="O49" i="19"/>
  <c r="O45" i="19"/>
  <c r="O41" i="19"/>
  <c r="O37" i="19"/>
  <c r="O33" i="19"/>
  <c r="O187" i="19"/>
  <c r="O183" i="19"/>
  <c r="O179" i="19"/>
  <c r="O175" i="19"/>
  <c r="O171" i="19"/>
  <c r="O167" i="19"/>
  <c r="O163" i="19"/>
  <c r="O159" i="19"/>
  <c r="O155" i="19"/>
  <c r="O151" i="19"/>
  <c r="O147" i="19"/>
  <c r="O143" i="19"/>
  <c r="O139" i="19"/>
  <c r="O135" i="19"/>
  <c r="O131" i="19"/>
  <c r="O127" i="19"/>
  <c r="O123" i="19"/>
  <c r="O119" i="19"/>
  <c r="O115" i="19"/>
  <c r="O111" i="19"/>
  <c r="O107" i="19"/>
  <c r="O103" i="19"/>
  <c r="O99" i="19"/>
  <c r="O95" i="19"/>
  <c r="O91" i="19"/>
  <c r="O87" i="19"/>
  <c r="O83" i="19"/>
  <c r="O79" i="19"/>
  <c r="O75" i="19"/>
  <c r="O71" i="19"/>
  <c r="O67" i="19"/>
  <c r="O63" i="19"/>
  <c r="O59" i="19"/>
  <c r="O55" i="19"/>
  <c r="O51" i="19"/>
  <c r="O47" i="19"/>
  <c r="O43" i="19"/>
  <c r="O39" i="19"/>
  <c r="O35" i="19"/>
  <c r="O31" i="19"/>
  <c r="O19" i="19"/>
  <c r="O23" i="19"/>
  <c r="O27" i="19"/>
  <c r="M33" i="19"/>
  <c r="M37" i="19"/>
  <c r="M41" i="19"/>
  <c r="M45" i="19"/>
  <c r="M49" i="19"/>
  <c r="M53" i="19"/>
  <c r="M57" i="19"/>
  <c r="M61" i="19"/>
  <c r="M65" i="19"/>
  <c r="M69" i="19"/>
  <c r="M73" i="19"/>
  <c r="M77" i="19"/>
  <c r="M81" i="19"/>
  <c r="M85" i="19"/>
  <c r="M89" i="19"/>
  <c r="M93" i="19"/>
  <c r="M97" i="19"/>
  <c r="M101" i="19"/>
  <c r="M105" i="19"/>
  <c r="M109" i="19"/>
  <c r="M113" i="19"/>
  <c r="M117" i="19"/>
  <c r="M121" i="19"/>
  <c r="M125" i="19"/>
  <c r="M129" i="19"/>
  <c r="M133" i="19"/>
  <c r="M137" i="19"/>
  <c r="M141" i="19"/>
  <c r="M145" i="19"/>
  <c r="M149" i="19"/>
  <c r="M153" i="19"/>
  <c r="M157" i="19"/>
  <c r="M161" i="19"/>
  <c r="M165" i="19"/>
  <c r="M169" i="19"/>
  <c r="M173" i="19"/>
  <c r="M177" i="19"/>
  <c r="M181" i="19"/>
  <c r="M185" i="19"/>
  <c r="M189" i="19"/>
  <c r="M192" i="19"/>
  <c r="M196" i="19"/>
  <c r="M200" i="19"/>
  <c r="M204" i="19"/>
  <c r="M216" i="19"/>
  <c r="M31" i="19"/>
  <c r="M35" i="19"/>
  <c r="M39" i="19"/>
  <c r="M43" i="19"/>
  <c r="M47" i="19"/>
  <c r="M51" i="19"/>
  <c r="M55" i="19"/>
  <c r="M59" i="19"/>
  <c r="M63" i="19"/>
  <c r="M67" i="19"/>
  <c r="M71" i="19"/>
  <c r="M75" i="19"/>
  <c r="M79" i="19"/>
  <c r="M83" i="19"/>
  <c r="M87" i="19"/>
  <c r="M91" i="19"/>
  <c r="M95" i="19"/>
  <c r="M99" i="19"/>
  <c r="M103" i="19"/>
  <c r="M107" i="19"/>
  <c r="M111" i="19"/>
  <c r="M115" i="19"/>
  <c r="M119" i="19"/>
  <c r="M123" i="19"/>
  <c r="M127" i="19"/>
  <c r="M131" i="19"/>
  <c r="M135" i="19"/>
  <c r="M139" i="19"/>
  <c r="M143" i="19"/>
  <c r="M147" i="19"/>
  <c r="M151" i="19"/>
  <c r="M155" i="19"/>
  <c r="M159" i="19"/>
  <c r="M163" i="19"/>
  <c r="M167" i="19"/>
  <c r="M171" i="19"/>
  <c r="M175" i="19"/>
  <c r="M179" i="19"/>
  <c r="M183" i="19"/>
  <c r="M187" i="19"/>
  <c r="M191" i="19"/>
  <c r="E135" i="16"/>
  <c r="E143" i="16"/>
  <c r="E145" i="16"/>
  <c r="E147" i="16"/>
  <c r="E151" i="16"/>
  <c r="E159" i="16"/>
  <c r="E133" i="16"/>
  <c r="E141" i="16"/>
  <c r="E175" i="16"/>
  <c r="M160" i="15"/>
  <c r="C159" i="16" s="1"/>
  <c r="M164" i="15"/>
  <c r="C163" i="16" s="1"/>
  <c r="M168" i="15"/>
  <c r="C167" i="16" s="1"/>
  <c r="M172" i="15"/>
  <c r="C171" i="16" s="1"/>
  <c r="M176" i="15"/>
  <c r="C175" i="16" s="1"/>
  <c r="M180" i="15"/>
  <c r="C179" i="16" s="1"/>
  <c r="M184" i="15"/>
  <c r="C183" i="16" s="1"/>
  <c r="M188" i="15"/>
  <c r="C187" i="16" s="1"/>
  <c r="M192" i="15"/>
  <c r="C191" i="16" s="1"/>
  <c r="M196" i="15"/>
  <c r="M200" i="15"/>
  <c r="C199" i="16" s="1"/>
  <c r="M204" i="15"/>
  <c r="C203" i="16" s="1"/>
  <c r="M208" i="15"/>
  <c r="C207" i="16" s="1"/>
  <c r="M212" i="15"/>
  <c r="C211" i="16" s="1"/>
  <c r="M216" i="15"/>
  <c r="C215" i="16" s="1"/>
  <c r="M220" i="15"/>
  <c r="C219" i="16" s="1"/>
  <c r="M224" i="15"/>
  <c r="C223" i="16" s="1"/>
  <c r="M228" i="15"/>
  <c r="C227" i="16" s="1"/>
  <c r="M232" i="15"/>
  <c r="C231" i="16" s="1"/>
  <c r="M236" i="15"/>
  <c r="C235" i="16" s="1"/>
  <c r="M240" i="15"/>
  <c r="C239" i="16" s="1"/>
  <c r="M244" i="15"/>
  <c r="C243" i="16" s="1"/>
  <c r="M248" i="15"/>
  <c r="C247" i="16" s="1"/>
  <c r="M252" i="15"/>
  <c r="C251" i="16" s="1"/>
  <c r="M256" i="15"/>
  <c r="C255" i="16" s="1"/>
  <c r="M258" i="15"/>
  <c r="C257" i="16" s="1"/>
  <c r="M161" i="15"/>
  <c r="C160" i="16" s="1"/>
  <c r="M165" i="15"/>
  <c r="C164" i="16" s="1"/>
  <c r="M169" i="15"/>
  <c r="C168" i="16" s="1"/>
  <c r="M173" i="15"/>
  <c r="C172" i="16" s="1"/>
  <c r="M177" i="15"/>
  <c r="C176" i="16" s="1"/>
  <c r="M181" i="15"/>
  <c r="C180" i="16" s="1"/>
  <c r="M185" i="15"/>
  <c r="C184" i="16" s="1"/>
  <c r="M189" i="15"/>
  <c r="C188" i="16" s="1"/>
  <c r="M193" i="15"/>
  <c r="C192" i="16" s="1"/>
  <c r="M197" i="15"/>
  <c r="C196" i="16" s="1"/>
  <c r="M201" i="15"/>
  <c r="C200" i="16" s="1"/>
  <c r="M205" i="15"/>
  <c r="C204" i="16" s="1"/>
  <c r="M209" i="15"/>
  <c r="C208" i="16" s="1"/>
  <c r="M213" i="15"/>
  <c r="C212" i="16" s="1"/>
  <c r="M217" i="15"/>
  <c r="C216" i="16" s="1"/>
  <c r="M221" i="15"/>
  <c r="C220" i="16" s="1"/>
  <c r="M225" i="15"/>
  <c r="C224" i="16" s="1"/>
  <c r="M229" i="15"/>
  <c r="C228" i="16" s="1"/>
  <c r="M233" i="15"/>
  <c r="C232" i="16" s="1"/>
  <c r="M237" i="15"/>
  <c r="C236" i="16" s="1"/>
  <c r="M241" i="15"/>
  <c r="C240" i="16" s="1"/>
  <c r="M245" i="15"/>
  <c r="C244" i="16" s="1"/>
  <c r="M249" i="15"/>
  <c r="C248" i="16" s="1"/>
  <c r="M253" i="15"/>
  <c r="C252" i="16" s="1"/>
  <c r="M257" i="15"/>
  <c r="C256" i="16" s="1"/>
  <c r="M254" i="15"/>
  <c r="C253" i="16" s="1"/>
  <c r="M162" i="15"/>
  <c r="C161" i="16" s="1"/>
  <c r="M166" i="15"/>
  <c r="C165" i="16" s="1"/>
  <c r="M170" i="15"/>
  <c r="C169" i="16" s="1"/>
  <c r="M174" i="15"/>
  <c r="C173" i="16" s="1"/>
  <c r="M178" i="15"/>
  <c r="C177" i="16" s="1"/>
  <c r="M182" i="15"/>
  <c r="C181" i="16" s="1"/>
  <c r="M186" i="15"/>
  <c r="C185" i="16" s="1"/>
  <c r="M190" i="15"/>
  <c r="C189" i="16" s="1"/>
  <c r="M194" i="15"/>
  <c r="C193" i="16" s="1"/>
  <c r="M198" i="15"/>
  <c r="C197" i="16" s="1"/>
  <c r="M202" i="15"/>
  <c r="C201" i="16" s="1"/>
  <c r="M206" i="15"/>
  <c r="C205" i="16" s="1"/>
  <c r="M210" i="15"/>
  <c r="C209" i="16" s="1"/>
  <c r="M214" i="15"/>
  <c r="C213" i="16" s="1"/>
  <c r="M218" i="15"/>
  <c r="C217" i="16" s="1"/>
  <c r="M222" i="15"/>
  <c r="C221" i="16" s="1"/>
  <c r="M226" i="15"/>
  <c r="C225" i="16" s="1"/>
  <c r="M230" i="15"/>
  <c r="C229" i="16" s="1"/>
  <c r="M234" i="15"/>
  <c r="C233" i="16" s="1"/>
  <c r="M238" i="15"/>
  <c r="C237" i="16" s="1"/>
  <c r="M242" i="15"/>
  <c r="C241" i="16" s="1"/>
  <c r="M246" i="15"/>
  <c r="C245" i="16" s="1"/>
  <c r="M250" i="15"/>
  <c r="C249" i="16" s="1"/>
  <c r="M163" i="15"/>
  <c r="C162" i="16" s="1"/>
  <c r="M167" i="15"/>
  <c r="C166" i="16" s="1"/>
  <c r="M171" i="15"/>
  <c r="C170" i="16" s="1"/>
  <c r="M175" i="15"/>
  <c r="C174" i="16" s="1"/>
  <c r="M179" i="15"/>
  <c r="C178" i="16" s="1"/>
  <c r="M183" i="15"/>
  <c r="C182" i="16" s="1"/>
  <c r="M187" i="15"/>
  <c r="C186" i="16" s="1"/>
  <c r="M191" i="15"/>
  <c r="C190" i="16" s="1"/>
  <c r="M195" i="15"/>
  <c r="C194" i="16" s="1"/>
  <c r="M199" i="15"/>
  <c r="C198" i="16" s="1"/>
  <c r="M203" i="15"/>
  <c r="C202" i="16" s="1"/>
  <c r="M207" i="15"/>
  <c r="C206" i="16" s="1"/>
  <c r="M211" i="15"/>
  <c r="C210" i="16" s="1"/>
  <c r="M215" i="15"/>
  <c r="C214" i="16" s="1"/>
  <c r="M219" i="15"/>
  <c r="C218" i="16" s="1"/>
  <c r="M223" i="15"/>
  <c r="C222" i="16" s="1"/>
  <c r="M227" i="15"/>
  <c r="C226" i="16" s="1"/>
  <c r="M231" i="15"/>
  <c r="C230" i="16" s="1"/>
  <c r="M235" i="15"/>
  <c r="C234" i="16" s="1"/>
  <c r="M239" i="15"/>
  <c r="C238" i="16" s="1"/>
  <c r="M243" i="15"/>
  <c r="M247" i="15"/>
  <c r="C246" i="16" s="1"/>
  <c r="M251" i="15"/>
  <c r="C250" i="16" s="1"/>
  <c r="M255" i="15"/>
  <c r="C254" i="16" s="1"/>
  <c r="M259" i="15"/>
  <c r="C258" i="16" s="1"/>
  <c r="M159" i="15"/>
  <c r="C158" i="16" s="1"/>
  <c r="D131" i="16"/>
  <c r="I136" i="16"/>
  <c r="D139" i="16"/>
  <c r="I172" i="16"/>
  <c r="E185" i="16"/>
  <c r="E195" i="16"/>
  <c r="E177" i="16"/>
  <c r="I174" i="16"/>
  <c r="E182" i="16"/>
  <c r="I135" i="16"/>
  <c r="D134" i="16"/>
  <c r="D142" i="16"/>
  <c r="D190" i="16"/>
  <c r="D170" i="16"/>
  <c r="I169" i="16"/>
  <c r="I168" i="16"/>
  <c r="D166" i="16"/>
  <c r="I165" i="16"/>
  <c r="D162" i="16"/>
  <c r="I161" i="16"/>
  <c r="D159" i="16"/>
  <c r="I158" i="16"/>
  <c r="D154" i="16"/>
  <c r="I153" i="16"/>
  <c r="D151" i="16"/>
  <c r="I150" i="16"/>
  <c r="D143" i="16"/>
  <c r="I140" i="16"/>
  <c r="I139" i="16"/>
  <c r="D138" i="16"/>
  <c r="D135" i="16"/>
  <c r="I132" i="16"/>
  <c r="I131" i="16"/>
  <c r="D130" i="16"/>
  <c r="D127" i="16"/>
  <c r="I124" i="16"/>
  <c r="I123" i="16"/>
  <c r="D122" i="16"/>
  <c r="D119" i="16"/>
  <c r="I116" i="16"/>
  <c r="I115" i="16"/>
  <c r="D114" i="16"/>
  <c r="D111" i="16"/>
  <c r="I108" i="16"/>
  <c r="I107" i="16"/>
  <c r="D106" i="16"/>
  <c r="D103" i="16"/>
  <c r="D100" i="16"/>
  <c r="D69" i="16"/>
  <c r="I65" i="16"/>
  <c r="D62" i="16"/>
  <c r="I60" i="16"/>
  <c r="I58" i="16"/>
  <c r="I56" i="16"/>
  <c r="D54" i="16"/>
  <c r="I167" i="16"/>
  <c r="D165" i="16"/>
  <c r="I164" i="16"/>
  <c r="D161" i="16"/>
  <c r="I160" i="16"/>
  <c r="D156" i="16"/>
  <c r="I155" i="16"/>
  <c r="D153" i="16"/>
  <c r="I152" i="16"/>
  <c r="D148" i="16"/>
  <c r="D147" i="16"/>
  <c r="I146" i="16"/>
  <c r="D145" i="16"/>
  <c r="I142" i="16"/>
  <c r="I141" i="16"/>
  <c r="D140" i="16"/>
  <c r="D137" i="16"/>
  <c r="I134" i="16"/>
  <c r="I133" i="16"/>
  <c r="D132" i="16"/>
  <c r="D129" i="16"/>
  <c r="I126" i="16"/>
  <c r="I125" i="16"/>
  <c r="D124" i="16"/>
  <c r="D121" i="16"/>
  <c r="I118" i="16"/>
  <c r="I117" i="16"/>
  <c r="D116" i="16"/>
  <c r="D113" i="16"/>
  <c r="I110" i="16"/>
  <c r="I109" i="16"/>
  <c r="D108" i="16"/>
  <c r="D105" i="16"/>
  <c r="I102" i="16"/>
  <c r="I101" i="16"/>
  <c r="D99" i="16"/>
  <c r="D67" i="16"/>
  <c r="D60" i="16"/>
  <c r="D58" i="16"/>
  <c r="D56" i="16"/>
  <c r="D53" i="16"/>
  <c r="D51" i="16"/>
  <c r="D49" i="16"/>
  <c r="D47" i="16"/>
  <c r="D45" i="16"/>
  <c r="D43" i="16"/>
  <c r="D41" i="16"/>
  <c r="D39" i="16"/>
  <c r="D37" i="16"/>
  <c r="D35" i="16"/>
  <c r="D33" i="16"/>
  <c r="D31" i="16"/>
  <c r="D29" i="16"/>
  <c r="D27" i="16"/>
  <c r="D25" i="16"/>
  <c r="D23" i="16"/>
  <c r="D21" i="16"/>
  <c r="D19" i="16"/>
  <c r="D17" i="16"/>
  <c r="D15" i="16"/>
  <c r="D13" i="16"/>
  <c r="D11" i="16"/>
  <c r="D9" i="16"/>
  <c r="D160" i="16"/>
  <c r="I159" i="16"/>
  <c r="D157" i="16"/>
  <c r="I156" i="16"/>
  <c r="D152" i="16"/>
  <c r="I151" i="16"/>
  <c r="D149" i="16"/>
  <c r="I148" i="16"/>
  <c r="D146" i="16"/>
  <c r="I145" i="16"/>
  <c r="D144" i="16"/>
  <c r="D141" i="16"/>
  <c r="I138" i="16"/>
  <c r="I137" i="16"/>
  <c r="D136" i="16"/>
  <c r="D133" i="16"/>
  <c r="I130" i="16"/>
  <c r="I129" i="16"/>
  <c r="D128" i="16"/>
  <c r="D125" i="16"/>
  <c r="I122" i="16"/>
  <c r="I121" i="16"/>
  <c r="D120" i="16"/>
  <c r="D117" i="16"/>
  <c r="I114" i="16"/>
  <c r="I113" i="16"/>
  <c r="D112" i="16"/>
  <c r="D109" i="16"/>
  <c r="I106" i="16"/>
  <c r="I105" i="16"/>
  <c r="D104" i="16"/>
  <c r="D101" i="16"/>
  <c r="I99" i="16"/>
  <c r="D98" i="16"/>
  <c r="I67" i="16"/>
  <c r="D64" i="16"/>
  <c r="I62" i="16"/>
  <c r="I54" i="16"/>
  <c r="I53" i="16"/>
  <c r="D52" i="16"/>
  <c r="I51" i="16"/>
  <c r="D50" i="16"/>
  <c r="I49" i="16"/>
  <c r="D48" i="16"/>
  <c r="I47" i="16"/>
  <c r="D46" i="16"/>
  <c r="I45" i="16"/>
  <c r="D44" i="16"/>
  <c r="I43" i="16"/>
  <c r="D42" i="16"/>
  <c r="I41" i="16"/>
  <c r="D40" i="16"/>
  <c r="I39" i="16"/>
  <c r="D38" i="16"/>
  <c r="I37" i="16"/>
  <c r="D36" i="16"/>
  <c r="I35" i="16"/>
  <c r="D34" i="16"/>
  <c r="I33" i="16"/>
  <c r="D32" i="16"/>
  <c r="I31" i="16"/>
  <c r="D30" i="16"/>
  <c r="I29" i="16"/>
  <c r="D28" i="16"/>
  <c r="I27" i="16"/>
  <c r="D26" i="16"/>
  <c r="I25" i="16"/>
  <c r="D24" i="16"/>
  <c r="I23" i="16"/>
  <c r="D22" i="16"/>
  <c r="I21" i="16"/>
  <c r="D20" i="16"/>
  <c r="I19" i="16"/>
  <c r="D18" i="16"/>
  <c r="I17" i="16"/>
  <c r="D16" i="16"/>
  <c r="I15" i="16"/>
  <c r="D14" i="16"/>
  <c r="I13" i="16"/>
  <c r="D12" i="16"/>
  <c r="I11" i="16"/>
  <c r="I57" i="16"/>
  <c r="I59" i="16"/>
  <c r="I61" i="16"/>
  <c r="I100" i="16"/>
  <c r="I55" i="16"/>
  <c r="I71" i="16"/>
  <c r="I86" i="16"/>
  <c r="I90" i="16"/>
  <c r="I94" i="16"/>
  <c r="I147" i="16"/>
  <c r="D163" i="16"/>
  <c r="D164" i="16"/>
  <c r="D168" i="16"/>
  <c r="D169" i="16"/>
  <c r="I176" i="16"/>
  <c r="D171" i="16"/>
  <c r="D173" i="16"/>
  <c r="I171" i="16"/>
  <c r="I173" i="16"/>
  <c r="I178" i="16"/>
  <c r="D174" i="16"/>
  <c r="D175" i="16"/>
  <c r="D172" i="16"/>
  <c r="D179" i="16"/>
  <c r="I177" i="16"/>
  <c r="I180" i="16"/>
  <c r="D177" i="16"/>
  <c r="I184" i="16"/>
  <c r="D178" i="16"/>
  <c r="I175" i="16"/>
  <c r="D176" i="16"/>
  <c r="I179" i="16"/>
  <c r="I181" i="16"/>
  <c r="I186" i="16"/>
  <c r="D183" i="16"/>
  <c r="D185" i="16"/>
  <c r="I193" i="16"/>
  <c r="D196" i="16"/>
  <c r="D181" i="16"/>
  <c r="D194" i="16"/>
  <c r="I195" i="16"/>
  <c r="I197" i="16"/>
  <c r="I182" i="16"/>
  <c r="I183" i="16"/>
  <c r="E196" i="16"/>
  <c r="E54" i="16"/>
  <c r="E58" i="16"/>
  <c r="E102" i="16"/>
  <c r="E104" i="16"/>
  <c r="E106" i="16"/>
  <c r="E108" i="16"/>
  <c r="E110" i="16"/>
  <c r="E112" i="16"/>
  <c r="E114" i="16"/>
  <c r="E116" i="16"/>
  <c r="E118" i="16"/>
  <c r="E120" i="16"/>
  <c r="E122" i="16"/>
  <c r="E124" i="16"/>
  <c r="E126" i="16"/>
  <c r="E128" i="16"/>
  <c r="E130" i="16"/>
  <c r="E132" i="16"/>
  <c r="E134" i="16"/>
  <c r="E136" i="16"/>
  <c r="E138" i="16"/>
  <c r="E140" i="16"/>
  <c r="E142" i="16"/>
  <c r="E144" i="16"/>
  <c r="E148" i="16"/>
  <c r="E150" i="16"/>
  <c r="E152" i="16"/>
  <c r="E154" i="16"/>
  <c r="E156" i="16"/>
  <c r="E158" i="16"/>
  <c r="E160" i="16"/>
  <c r="E162" i="16"/>
  <c r="E164" i="16"/>
  <c r="E166" i="16"/>
  <c r="E168" i="16"/>
  <c r="E170" i="16"/>
  <c r="E172" i="16"/>
  <c r="E174" i="16"/>
  <c r="E176" i="16"/>
  <c r="E178" i="16"/>
  <c r="E180" i="16"/>
  <c r="E183" i="16"/>
  <c r="E186" i="16"/>
  <c r="E192" i="16"/>
  <c r="E193" i="16"/>
  <c r="E197" i="16"/>
  <c r="E60" i="16"/>
  <c r="E65" i="16"/>
  <c r="E98" i="16"/>
  <c r="E100" i="16"/>
  <c r="E146" i="16"/>
  <c r="E181" i="16"/>
  <c r="E187" i="16"/>
  <c r="E188" i="16"/>
  <c r="E189" i="16"/>
  <c r="E194" i="16"/>
  <c r="E199" i="16"/>
  <c r="E200" i="16"/>
  <c r="E201" i="16"/>
  <c r="E202" i="16"/>
  <c r="E203" i="16"/>
  <c r="E204" i="16"/>
  <c r="E205" i="16"/>
  <c r="E206" i="16"/>
  <c r="E207" i="16"/>
  <c r="E198" i="16"/>
  <c r="E229" i="16"/>
  <c r="D180" i="16"/>
  <c r="D182" i="16"/>
  <c r="D184" i="16"/>
  <c r="D186" i="16"/>
  <c r="D188" i="16"/>
  <c r="I199" i="16"/>
  <c r="I200" i="16"/>
  <c r="I203" i="16"/>
  <c r="D187" i="16"/>
  <c r="I188" i="16"/>
  <c r="D189" i="16"/>
  <c r="D192" i="16"/>
  <c r="I194" i="16"/>
  <c r="I196" i="16"/>
  <c r="I198" i="16"/>
  <c r="I201" i="16"/>
  <c r="I202" i="16"/>
  <c r="I185" i="16"/>
  <c r="I187" i="16"/>
  <c r="I189" i="16"/>
  <c r="I192" i="16"/>
  <c r="D193" i="16"/>
  <c r="D195" i="16"/>
  <c r="D197" i="16"/>
  <c r="D199" i="16"/>
  <c r="D200" i="16"/>
  <c r="D205" i="16"/>
  <c r="D202" i="16"/>
  <c r="D201" i="16"/>
  <c r="D203" i="16"/>
  <c r="D204" i="16"/>
  <c r="I204" i="16"/>
  <c r="I206" i="16"/>
  <c r="I208" i="16"/>
  <c r="I205" i="16"/>
  <c r="D206" i="16"/>
  <c r="I207" i="16"/>
  <c r="D207" i="16"/>
  <c r="D219" i="16"/>
  <c r="D208" i="16"/>
  <c r="D215" i="16"/>
  <c r="I211" i="16"/>
  <c r="I213" i="16"/>
  <c r="D213" i="16"/>
  <c r="I215" i="16"/>
  <c r="I218" i="16"/>
  <c r="I219" i="16"/>
  <c r="I217" i="16"/>
  <c r="D211" i="16"/>
  <c r="I222" i="16"/>
  <c r="D225" i="16"/>
  <c r="I226" i="16"/>
  <c r="D217" i="16"/>
  <c r="I221" i="16"/>
  <c r="I225" i="16"/>
  <c r="I227" i="16"/>
  <c r="I223" i="16"/>
  <c r="D229" i="16"/>
  <c r="I236" i="16"/>
  <c r="I230" i="16"/>
  <c r="I229" i="16"/>
  <c r="D243" i="16"/>
  <c r="D238" i="16"/>
  <c r="I243" i="16"/>
  <c r="I239" i="16"/>
  <c r="I242" i="16"/>
  <c r="D242" i="16"/>
  <c r="D246" i="16"/>
  <c r="I244" i="16"/>
  <c r="I250" i="16"/>
  <c r="I246" i="16"/>
  <c r="D245" i="16"/>
  <c r="I253" i="16"/>
  <c r="D250" i="16"/>
  <c r="D254" i="16"/>
  <c r="D249" i="16"/>
  <c r="D253" i="16"/>
  <c r="D256" i="16"/>
  <c r="I190" i="16"/>
  <c r="I254" i="16"/>
  <c r="Q210" i="19"/>
  <c r="Q211" i="19"/>
  <c r="Q216" i="19"/>
  <c r="Q212" i="19"/>
  <c r="O195" i="19"/>
  <c r="O198" i="19"/>
  <c r="O203" i="19"/>
  <c r="O206" i="19"/>
  <c r="O210" i="19"/>
  <c r="O214" i="19"/>
  <c r="N207" i="19"/>
  <c r="M209" i="19"/>
  <c r="N211" i="19"/>
  <c r="M213" i="19"/>
  <c r="N215" i="19"/>
  <c r="M16" i="19"/>
  <c r="O191" i="19"/>
  <c r="O194" i="19"/>
  <c r="O199" i="19"/>
  <c r="O202" i="19"/>
  <c r="O207" i="19"/>
  <c r="O211" i="19"/>
  <c r="O215" i="19"/>
  <c r="O16" i="19"/>
  <c r="E211" i="16"/>
  <c r="E213" i="16"/>
  <c r="E215" i="16"/>
  <c r="E217" i="16"/>
  <c r="E219" i="16"/>
  <c r="E223" i="16"/>
  <c r="E225" i="16"/>
  <c r="E234" i="16"/>
  <c r="E235" i="16"/>
  <c r="E243" i="16"/>
  <c r="E250" i="16"/>
  <c r="E253" i="16"/>
  <c r="E208" i="16"/>
  <c r="E221" i="16"/>
  <c r="E238" i="16"/>
  <c r="E244" i="16"/>
  <c r="E245" i="16"/>
  <c r="E246" i="16"/>
  <c r="E252" i="16"/>
  <c r="E254" i="16"/>
  <c r="E256" i="16"/>
  <c r="E257" i="16"/>
  <c r="E191" i="16"/>
  <c r="E190" i="16"/>
  <c r="E231" i="16"/>
  <c r="E239" i="16"/>
  <c r="E242" i="16"/>
  <c r="E248" i="16"/>
  <c r="E241" i="16"/>
  <c r="D221" i="16"/>
  <c r="D223" i="16"/>
  <c r="D227" i="16"/>
  <c r="D231" i="16"/>
  <c r="I234" i="16"/>
  <c r="D235" i="16"/>
  <c r="I238" i="16"/>
  <c r="D239" i="16"/>
  <c r="D244" i="16"/>
  <c r="I256" i="16"/>
  <c r="D257" i="16"/>
  <c r="I245" i="16"/>
  <c r="D248" i="16"/>
  <c r="I249" i="16"/>
  <c r="D252" i="16"/>
  <c r="I257" i="16"/>
  <c r="D191" i="16"/>
  <c r="I191" i="16"/>
  <c r="C242" i="16"/>
  <c r="M156" i="15"/>
  <c r="C155" i="16" s="1"/>
  <c r="M152" i="15"/>
  <c r="C151" i="16" s="1"/>
  <c r="M148" i="15"/>
  <c r="C147" i="16" s="1"/>
  <c r="M143" i="15"/>
  <c r="C142" i="16" s="1"/>
  <c r="M139" i="15"/>
  <c r="C138" i="16" s="1"/>
  <c r="M135" i="15"/>
  <c r="C134" i="16" s="1"/>
  <c r="M131" i="15"/>
  <c r="C130" i="16" s="1"/>
  <c r="M127" i="15"/>
  <c r="C126" i="16" s="1"/>
  <c r="M123" i="15"/>
  <c r="C122" i="16" s="1"/>
  <c r="M119" i="15"/>
  <c r="C118" i="16" s="1"/>
  <c r="M115" i="15"/>
  <c r="C114" i="16" s="1"/>
  <c r="M111" i="15"/>
  <c r="C110" i="16" s="1"/>
  <c r="M107" i="15"/>
  <c r="C106" i="16" s="1"/>
  <c r="M103" i="15"/>
  <c r="C102" i="16" s="1"/>
  <c r="M100" i="15"/>
  <c r="C99" i="16" s="1"/>
  <c r="M96" i="15"/>
  <c r="C95" i="16" s="1"/>
  <c r="M92" i="15"/>
  <c r="C91" i="16" s="1"/>
  <c r="M88" i="15"/>
  <c r="C87" i="16" s="1"/>
  <c r="M84" i="15"/>
  <c r="C83" i="16" s="1"/>
  <c r="M80" i="15"/>
  <c r="C79" i="16" s="1"/>
  <c r="M76" i="15"/>
  <c r="C75" i="16" s="1"/>
  <c r="M63" i="15"/>
  <c r="C62" i="16" s="1"/>
  <c r="M61" i="15"/>
  <c r="C60" i="16" s="1"/>
  <c r="M59" i="15"/>
  <c r="C58" i="16" s="1"/>
  <c r="M57" i="15"/>
  <c r="C56" i="16" s="1"/>
  <c r="M51" i="15"/>
  <c r="C50" i="16" s="1"/>
  <c r="M50" i="15"/>
  <c r="C49" i="16" s="1"/>
  <c r="M43" i="15"/>
  <c r="C42" i="16" s="1"/>
  <c r="M39" i="15"/>
  <c r="C38" i="16" s="1"/>
  <c r="M35" i="15"/>
  <c r="C34" i="16" s="1"/>
  <c r="M31" i="15"/>
  <c r="C30" i="16" s="1"/>
  <c r="M27" i="15"/>
  <c r="C26" i="16" s="1"/>
  <c r="M23" i="15"/>
  <c r="C22" i="16" s="1"/>
  <c r="M19" i="15"/>
  <c r="C18" i="16" s="1"/>
  <c r="M15" i="15"/>
  <c r="C14" i="16" s="1"/>
  <c r="M11" i="15"/>
  <c r="C10" i="16" s="1"/>
  <c r="E23" i="17"/>
  <c r="C195" i="16"/>
  <c r="M157" i="15"/>
  <c r="C156" i="16" s="1"/>
  <c r="M153" i="15"/>
  <c r="C152" i="16" s="1"/>
  <c r="M144" i="15"/>
  <c r="C143" i="16" s="1"/>
  <c r="M140" i="15"/>
  <c r="C139" i="16" s="1"/>
  <c r="M136" i="15"/>
  <c r="C135" i="16" s="1"/>
  <c r="M132" i="15"/>
  <c r="C131" i="16" s="1"/>
  <c r="M128" i="15"/>
  <c r="C127" i="16" s="1"/>
  <c r="M124" i="15"/>
  <c r="C123" i="16" s="1"/>
  <c r="M120" i="15"/>
  <c r="C119" i="16" s="1"/>
  <c r="M116" i="15"/>
  <c r="C115" i="16" s="1"/>
  <c r="M112" i="15"/>
  <c r="C111" i="16" s="1"/>
  <c r="M108" i="15"/>
  <c r="C107" i="16" s="1"/>
  <c r="M104" i="15"/>
  <c r="C103" i="16" s="1"/>
  <c r="M101" i="15"/>
  <c r="C100" i="16" s="1"/>
  <c r="M95" i="15"/>
  <c r="C94" i="16" s="1"/>
  <c r="M91" i="15"/>
  <c r="C90" i="16" s="1"/>
  <c r="M87" i="15"/>
  <c r="C86" i="16" s="1"/>
  <c r="M83" i="15"/>
  <c r="C82" i="16" s="1"/>
  <c r="M79" i="15"/>
  <c r="C78" i="16" s="1"/>
  <c r="M75" i="15"/>
  <c r="C74" i="16" s="1"/>
  <c r="M70" i="15"/>
  <c r="C69" i="16" s="1"/>
  <c r="M68" i="15"/>
  <c r="C67" i="16" s="1"/>
  <c r="M66" i="15"/>
  <c r="C65" i="16" s="1"/>
  <c r="M65" i="15"/>
  <c r="C64" i="16" s="1"/>
  <c r="M53" i="15"/>
  <c r="C52" i="16" s="1"/>
  <c r="M52" i="15"/>
  <c r="C51" i="16" s="1"/>
  <c r="M45" i="15"/>
  <c r="C44" i="16" s="1"/>
  <c r="M44" i="15"/>
  <c r="C43" i="16" s="1"/>
  <c r="M40" i="15"/>
  <c r="C39" i="16" s="1"/>
  <c r="M36" i="15"/>
  <c r="C35" i="16" s="1"/>
  <c r="M32" i="15"/>
  <c r="C31" i="16" s="1"/>
  <c r="M28" i="15"/>
  <c r="C27" i="16" s="1"/>
  <c r="M24" i="15"/>
  <c r="C23" i="16" s="1"/>
  <c r="M20" i="15"/>
  <c r="C19" i="16" s="1"/>
  <c r="M16" i="15"/>
  <c r="C15" i="16" s="1"/>
  <c r="M12" i="15"/>
  <c r="C11" i="16" s="1"/>
  <c r="M6" i="15"/>
  <c r="M158" i="15"/>
  <c r="C157" i="16" s="1"/>
  <c r="M154" i="15"/>
  <c r="C153" i="16" s="1"/>
  <c r="M150" i="15"/>
  <c r="C149" i="16" s="1"/>
  <c r="M149" i="15"/>
  <c r="C148" i="16" s="1"/>
  <c r="M145" i="15"/>
  <c r="C144" i="16" s="1"/>
  <c r="M141" i="15"/>
  <c r="C140" i="16" s="1"/>
  <c r="M137" i="15"/>
  <c r="C136" i="16" s="1"/>
  <c r="M133" i="15"/>
  <c r="C132" i="16" s="1"/>
  <c r="M129" i="15"/>
  <c r="C128" i="16" s="1"/>
  <c r="M125" i="15"/>
  <c r="C124" i="16" s="1"/>
  <c r="M121" i="15"/>
  <c r="C120" i="16" s="1"/>
  <c r="M117" i="15"/>
  <c r="C116" i="16" s="1"/>
  <c r="M113" i="15"/>
  <c r="C112" i="16" s="1"/>
  <c r="M109" i="15"/>
  <c r="C108" i="16" s="1"/>
  <c r="M105" i="15"/>
  <c r="C104" i="16" s="1"/>
  <c r="M98" i="15"/>
  <c r="C97" i="16" s="1"/>
  <c r="M94" i="15"/>
  <c r="C93" i="16" s="1"/>
  <c r="M90" i="15"/>
  <c r="C89" i="16" s="1"/>
  <c r="M86" i="15"/>
  <c r="C85" i="16" s="1"/>
  <c r="M82" i="15"/>
  <c r="C81" i="16" s="1"/>
  <c r="M78" i="15"/>
  <c r="C77" i="16" s="1"/>
  <c r="M74" i="15"/>
  <c r="C73" i="16" s="1"/>
  <c r="M73" i="15"/>
  <c r="C72" i="16" s="1"/>
  <c r="M69" i="15"/>
  <c r="C68" i="16" s="1"/>
  <c r="M67" i="15"/>
  <c r="C66" i="16" s="1"/>
  <c r="M64" i="15"/>
  <c r="C63" i="16" s="1"/>
  <c r="M62" i="15"/>
  <c r="C61" i="16" s="1"/>
  <c r="M60" i="15"/>
  <c r="C59" i="16" s="1"/>
  <c r="M58" i="15"/>
  <c r="C57" i="16" s="1"/>
  <c r="M55" i="15"/>
  <c r="C54" i="16" s="1"/>
  <c r="M54" i="15"/>
  <c r="C53" i="16" s="1"/>
  <c r="M47" i="15"/>
  <c r="C46" i="16" s="1"/>
  <c r="M46" i="15"/>
  <c r="C45" i="16" s="1"/>
  <c r="M41" i="15"/>
  <c r="C40" i="16" s="1"/>
  <c r="M37" i="15"/>
  <c r="C36" i="16" s="1"/>
  <c r="M33" i="15"/>
  <c r="C32" i="16" s="1"/>
  <c r="M29" i="15"/>
  <c r="C28" i="16" s="1"/>
  <c r="M25" i="15"/>
  <c r="C24" i="16" s="1"/>
  <c r="M21" i="15"/>
  <c r="C20" i="16" s="1"/>
  <c r="M17" i="15"/>
  <c r="C16" i="16" s="1"/>
  <c r="M13" i="15"/>
  <c r="C12" i="16" s="1"/>
  <c r="M9" i="15"/>
  <c r="C8" i="16" s="1"/>
  <c r="M155" i="15"/>
  <c r="C154" i="16" s="1"/>
  <c r="M151" i="15"/>
  <c r="C150" i="16" s="1"/>
  <c r="M147" i="15"/>
  <c r="C146" i="16" s="1"/>
  <c r="M146" i="15"/>
  <c r="C145" i="16" s="1"/>
  <c r="M142" i="15"/>
  <c r="C141" i="16" s="1"/>
  <c r="M138" i="15"/>
  <c r="C137" i="16" s="1"/>
  <c r="M134" i="15"/>
  <c r="C133" i="16" s="1"/>
  <c r="M130" i="15"/>
  <c r="C129" i="16" s="1"/>
  <c r="M126" i="15"/>
  <c r="C125" i="16" s="1"/>
  <c r="M122" i="15"/>
  <c r="C121" i="16" s="1"/>
  <c r="M118" i="15"/>
  <c r="C117" i="16" s="1"/>
  <c r="M114" i="15"/>
  <c r="C113" i="16" s="1"/>
  <c r="M110" i="15"/>
  <c r="C109" i="16" s="1"/>
  <c r="M106" i="15"/>
  <c r="C105" i="16" s="1"/>
  <c r="M102" i="15"/>
  <c r="C101" i="16" s="1"/>
  <c r="M99" i="15"/>
  <c r="C98" i="16" s="1"/>
  <c r="M97" i="15"/>
  <c r="C96" i="16" s="1"/>
  <c r="M93" i="15"/>
  <c r="C92" i="16" s="1"/>
  <c r="M89" i="15"/>
  <c r="C88" i="16" s="1"/>
  <c r="M85" i="15"/>
  <c r="C84" i="16" s="1"/>
  <c r="M81" i="15"/>
  <c r="C80" i="16" s="1"/>
  <c r="M77" i="15"/>
  <c r="C76" i="16" s="1"/>
  <c r="M72" i="15"/>
  <c r="C71" i="16" s="1"/>
  <c r="M71" i="15"/>
  <c r="C70" i="16" s="1"/>
  <c r="M56" i="15"/>
  <c r="C55" i="16" s="1"/>
  <c r="M49" i="15"/>
  <c r="C48" i="16" s="1"/>
  <c r="M48" i="15"/>
  <c r="C47" i="16" s="1"/>
  <c r="M42" i="15"/>
  <c r="C41" i="16" s="1"/>
  <c r="M38" i="15"/>
  <c r="C37" i="16" s="1"/>
  <c r="M34" i="15"/>
  <c r="C33" i="16" s="1"/>
  <c r="M30" i="15"/>
  <c r="C29" i="16" s="1"/>
  <c r="M26" i="15"/>
  <c r="C25" i="16" s="1"/>
  <c r="M22" i="15"/>
  <c r="C21" i="16" s="1"/>
  <c r="M18" i="15"/>
  <c r="C17" i="16" s="1"/>
  <c r="M14" i="15"/>
  <c r="C13" i="16" s="1"/>
  <c r="M10" i="15"/>
  <c r="C9" i="16" s="1"/>
  <c r="O193" i="19"/>
  <c r="M195" i="19"/>
  <c r="O197" i="19"/>
  <c r="M199" i="19"/>
  <c r="O201" i="19"/>
  <c r="M203" i="19"/>
  <c r="O205" i="19"/>
  <c r="M207" i="19"/>
  <c r="O209" i="19"/>
  <c r="M211" i="19"/>
  <c r="O213" i="19"/>
  <c r="M215" i="19"/>
  <c r="N216" i="19"/>
  <c r="C32" i="21"/>
  <c r="O208" i="19"/>
  <c r="M210" i="19"/>
  <c r="O212" i="19"/>
  <c r="C14" i="21"/>
  <c r="C16" i="21"/>
  <c r="C18" i="21"/>
  <c r="C20" i="21"/>
  <c r="C22" i="21"/>
  <c r="C24" i="21"/>
  <c r="C26" i="21"/>
  <c r="C28" i="21"/>
  <c r="C195" i="21"/>
  <c r="C236" i="21"/>
  <c r="C232" i="21"/>
  <c r="C228" i="21"/>
  <c r="C224" i="21"/>
  <c r="C220" i="21"/>
  <c r="C216" i="21"/>
  <c r="C235" i="21"/>
  <c r="C231" i="21"/>
  <c r="C227" i="21"/>
  <c r="C223" i="21"/>
  <c r="C234" i="21"/>
  <c r="C230" i="21"/>
  <c r="C226" i="21"/>
  <c r="C222" i="21"/>
  <c r="C218" i="21"/>
  <c r="C237" i="21"/>
  <c r="C233" i="21"/>
  <c r="C229" i="21"/>
  <c r="C225" i="21"/>
  <c r="C219" i="21"/>
  <c r="C214" i="21"/>
  <c r="C213" i="21"/>
  <c r="C217" i="21"/>
  <c r="C221" i="21"/>
  <c r="C212" i="21"/>
  <c r="C210" i="21"/>
  <c r="C208" i="21"/>
  <c r="C215" i="21"/>
  <c r="C198" i="21"/>
  <c r="C191" i="21"/>
  <c r="C189" i="21"/>
  <c r="C187" i="21"/>
  <c r="C185" i="21"/>
  <c r="C183" i="21"/>
  <c r="C181" i="21"/>
  <c r="C179" i="21"/>
  <c r="C206" i="21"/>
  <c r="C204" i="21"/>
  <c r="C202" i="21"/>
  <c r="C200" i="21"/>
  <c r="C153" i="21"/>
  <c r="C150" i="21"/>
  <c r="C148" i="21"/>
  <c r="C146" i="21"/>
  <c r="C144" i="21"/>
  <c r="C142" i="21"/>
  <c r="C140" i="21"/>
  <c r="C138" i="21"/>
  <c r="C136" i="21"/>
  <c r="C134" i="21"/>
  <c r="C151" i="21"/>
  <c r="C177" i="21"/>
  <c r="C175" i="21"/>
  <c r="C173" i="21"/>
  <c r="C171" i="21"/>
  <c r="C169" i="21"/>
  <c r="C167" i="21"/>
  <c r="C165" i="21"/>
  <c r="C163" i="21"/>
  <c r="C161" i="21"/>
  <c r="C159" i="21"/>
  <c r="C157" i="21"/>
  <c r="C155" i="21"/>
  <c r="C132" i="21"/>
  <c r="C130" i="21"/>
  <c r="C128" i="21"/>
  <c r="C126" i="21"/>
  <c r="C124" i="21"/>
  <c r="C122" i="21"/>
  <c r="C120" i="21"/>
  <c r="C118" i="21"/>
  <c r="C116" i="21"/>
  <c r="C114" i="21"/>
  <c r="C112" i="21"/>
  <c r="C110" i="21"/>
  <c r="C108" i="21"/>
  <c r="C106" i="21"/>
  <c r="C70" i="21"/>
  <c r="C68" i="21"/>
  <c r="C66" i="21"/>
  <c r="C64" i="21"/>
  <c r="C62" i="21"/>
  <c r="C60" i="21"/>
  <c r="C58" i="21"/>
  <c r="C56" i="21"/>
  <c r="C54" i="21"/>
  <c r="C52" i="21"/>
  <c r="C50" i="21"/>
  <c r="C48" i="21"/>
  <c r="C46" i="21"/>
  <c r="C44" i="21"/>
  <c r="C42" i="21"/>
  <c r="C40" i="21"/>
  <c r="C38" i="21"/>
  <c r="C36" i="21"/>
  <c r="G8" i="16"/>
  <c r="A13" i="21"/>
  <c r="C13" i="21" s="1"/>
  <c r="C34" i="21"/>
  <c r="E57" i="16"/>
  <c r="D57" i="16"/>
  <c r="E59" i="16"/>
  <c r="D59" i="16"/>
  <c r="E61" i="16"/>
  <c r="D61" i="16"/>
  <c r="E63" i="16"/>
  <c r="D63" i="16"/>
  <c r="G64" i="16"/>
  <c r="A69" i="21"/>
  <c r="C69" i="21" s="1"/>
  <c r="C80" i="21"/>
  <c r="C84" i="21"/>
  <c r="C88" i="21"/>
  <c r="A15" i="21"/>
  <c r="C15" i="21" s="1"/>
  <c r="A17" i="21"/>
  <c r="C17" i="21" s="1"/>
  <c r="A19" i="21"/>
  <c r="C19" i="21" s="1"/>
  <c r="A21" i="21"/>
  <c r="C21" i="21" s="1"/>
  <c r="A23" i="21"/>
  <c r="C23" i="21" s="1"/>
  <c r="A25" i="21"/>
  <c r="C25" i="21" s="1"/>
  <c r="A27" i="21"/>
  <c r="C27" i="21" s="1"/>
  <c r="A29" i="21"/>
  <c r="C29" i="21" s="1"/>
  <c r="A31" i="21"/>
  <c r="C31" i="21" s="1"/>
  <c r="A33" i="21"/>
  <c r="C33" i="21" s="1"/>
  <c r="A35" i="21"/>
  <c r="C35" i="21" s="1"/>
  <c r="A37" i="21"/>
  <c r="C37" i="21" s="1"/>
  <c r="A39" i="21"/>
  <c r="C39" i="21" s="1"/>
  <c r="A41" i="21"/>
  <c r="C41" i="21" s="1"/>
  <c r="A43" i="21"/>
  <c r="C43" i="21" s="1"/>
  <c r="A45" i="21"/>
  <c r="C45" i="21" s="1"/>
  <c r="A47" i="21"/>
  <c r="C47" i="21" s="1"/>
  <c r="A49" i="21"/>
  <c r="C49" i="21" s="1"/>
  <c r="A51" i="21"/>
  <c r="C51" i="21" s="1"/>
  <c r="A53" i="21"/>
  <c r="C53" i="21" s="1"/>
  <c r="A55" i="21"/>
  <c r="C55" i="21" s="1"/>
  <c r="A57" i="21"/>
  <c r="C57" i="21" s="1"/>
  <c r="A59" i="21"/>
  <c r="C59" i="21" s="1"/>
  <c r="A61" i="21"/>
  <c r="C61" i="21" s="1"/>
  <c r="A63" i="21"/>
  <c r="C63" i="21" s="1"/>
  <c r="A65" i="21"/>
  <c r="C65" i="21" s="1"/>
  <c r="A67" i="21"/>
  <c r="C67" i="21" s="1"/>
  <c r="I70" i="16"/>
  <c r="D70" i="16"/>
  <c r="E70" i="16"/>
  <c r="G70" i="16"/>
  <c r="A75" i="21"/>
  <c r="C75" i="21" s="1"/>
  <c r="I76" i="16"/>
  <c r="D76" i="16"/>
  <c r="E76" i="16"/>
  <c r="G76" i="16"/>
  <c r="A81" i="21"/>
  <c r="C81" i="21" s="1"/>
  <c r="I80" i="16"/>
  <c r="D80" i="16"/>
  <c r="E80" i="16"/>
  <c r="G80" i="16"/>
  <c r="A85" i="21"/>
  <c r="C85" i="21" s="1"/>
  <c r="I84" i="16"/>
  <c r="D84" i="16"/>
  <c r="E84" i="16"/>
  <c r="G84" i="16"/>
  <c r="A89" i="21"/>
  <c r="C89" i="21" s="1"/>
  <c r="C92" i="21"/>
  <c r="C96" i="21"/>
  <c r="C100" i="21"/>
  <c r="C103" i="21"/>
  <c r="C104" i="21"/>
  <c r="I66" i="16"/>
  <c r="D66" i="16"/>
  <c r="E66" i="16"/>
  <c r="G66" i="16"/>
  <c r="A71" i="21"/>
  <c r="C71" i="21" s="1"/>
  <c r="I68" i="16"/>
  <c r="D68" i="16"/>
  <c r="E68" i="16"/>
  <c r="G68" i="16"/>
  <c r="A73" i="21"/>
  <c r="C73" i="21" s="1"/>
  <c r="C76" i="21"/>
  <c r="I72" i="16"/>
  <c r="D72" i="16"/>
  <c r="E72" i="16"/>
  <c r="G72" i="16"/>
  <c r="A77" i="21"/>
  <c r="C77" i="21" s="1"/>
  <c r="C82" i="21"/>
  <c r="C86" i="21"/>
  <c r="C90" i="21"/>
  <c r="C72" i="21"/>
  <c r="C74" i="21"/>
  <c r="C78" i="21"/>
  <c r="I74" i="16"/>
  <c r="D74" i="16"/>
  <c r="E74" i="16"/>
  <c r="G74" i="16"/>
  <c r="A79" i="21"/>
  <c r="C79" i="21" s="1"/>
  <c r="I78" i="16"/>
  <c r="D78" i="16"/>
  <c r="E78" i="16"/>
  <c r="G78" i="16"/>
  <c r="A83" i="21"/>
  <c r="C83" i="21" s="1"/>
  <c r="I82" i="16"/>
  <c r="D82" i="16"/>
  <c r="E82" i="16"/>
  <c r="G82" i="16"/>
  <c r="A87" i="21"/>
  <c r="C87" i="21" s="1"/>
  <c r="C94" i="21"/>
  <c r="C98" i="21"/>
  <c r="C102" i="21"/>
  <c r="E71" i="16"/>
  <c r="D71" i="16"/>
  <c r="E73" i="16"/>
  <c r="D73" i="16"/>
  <c r="I73" i="16"/>
  <c r="E75" i="16"/>
  <c r="D75" i="16"/>
  <c r="I75" i="16"/>
  <c r="E77" i="16"/>
  <c r="D77" i="16"/>
  <c r="I77" i="16"/>
  <c r="E79" i="16"/>
  <c r="D79" i="16"/>
  <c r="I79" i="16"/>
  <c r="E81" i="16"/>
  <c r="D81" i="16"/>
  <c r="I81" i="16"/>
  <c r="E83" i="16"/>
  <c r="D83" i="16"/>
  <c r="I83" i="16"/>
  <c r="E85" i="16"/>
  <c r="D85" i="16"/>
  <c r="I85" i="16"/>
  <c r="E87" i="16"/>
  <c r="D87" i="16"/>
  <c r="I87" i="16"/>
  <c r="E89" i="16"/>
  <c r="D89" i="16"/>
  <c r="I89" i="16"/>
  <c r="E91" i="16"/>
  <c r="D91" i="16"/>
  <c r="I91" i="16"/>
  <c r="E93" i="16"/>
  <c r="D93" i="16"/>
  <c r="I93" i="16"/>
  <c r="E95" i="16"/>
  <c r="D95" i="16"/>
  <c r="I95" i="16"/>
  <c r="E97" i="16"/>
  <c r="D97" i="16"/>
  <c r="I97" i="16"/>
  <c r="A91" i="21"/>
  <c r="C91" i="21" s="1"/>
  <c r="G86" i="16"/>
  <c r="A93" i="21"/>
  <c r="C93" i="21" s="1"/>
  <c r="G88" i="16"/>
  <c r="A95" i="21"/>
  <c r="C95" i="21" s="1"/>
  <c r="G90" i="16"/>
  <c r="A97" i="21"/>
  <c r="C97" i="21" s="1"/>
  <c r="G92" i="16"/>
  <c r="A99" i="21"/>
  <c r="C99" i="21" s="1"/>
  <c r="G94" i="16"/>
  <c r="A101" i="21"/>
  <c r="C101" i="21" s="1"/>
  <c r="G96" i="16"/>
  <c r="E86" i="16"/>
  <c r="D86" i="16"/>
  <c r="E88" i="16"/>
  <c r="D88" i="16"/>
  <c r="E90" i="16"/>
  <c r="D90" i="16"/>
  <c r="E92" i="16"/>
  <c r="D92" i="16"/>
  <c r="E94" i="16"/>
  <c r="D94" i="16"/>
  <c r="E96" i="16"/>
  <c r="D96" i="16"/>
  <c r="G100" i="16"/>
  <c r="A105" i="21"/>
  <c r="C105" i="21" s="1"/>
  <c r="C193" i="21"/>
  <c r="G147" i="16"/>
  <c r="A152" i="21"/>
  <c r="C152" i="21" s="1"/>
  <c r="A107" i="21"/>
  <c r="C107" i="21" s="1"/>
  <c r="A109" i="21"/>
  <c r="C109" i="21" s="1"/>
  <c r="A111" i="21"/>
  <c r="C111" i="21" s="1"/>
  <c r="A113" i="21"/>
  <c r="C113" i="21" s="1"/>
  <c r="A115" i="21"/>
  <c r="C115" i="21" s="1"/>
  <c r="A117" i="21"/>
  <c r="C117" i="21" s="1"/>
  <c r="A119" i="21"/>
  <c r="C119" i="21" s="1"/>
  <c r="A121" i="21"/>
  <c r="C121" i="21" s="1"/>
  <c r="A123" i="21"/>
  <c r="C123" i="21" s="1"/>
  <c r="A125" i="21"/>
  <c r="C125" i="21" s="1"/>
  <c r="A127" i="21"/>
  <c r="C127" i="21" s="1"/>
  <c r="A129" i="21"/>
  <c r="C129" i="21" s="1"/>
  <c r="A131" i="21"/>
  <c r="C131" i="21" s="1"/>
  <c r="A133" i="21"/>
  <c r="C133" i="21" s="1"/>
  <c r="A135" i="21"/>
  <c r="C135" i="21" s="1"/>
  <c r="A137" i="21"/>
  <c r="C137" i="21" s="1"/>
  <c r="A139" i="21"/>
  <c r="C139" i="21" s="1"/>
  <c r="A141" i="21"/>
  <c r="C141" i="21" s="1"/>
  <c r="A143" i="21"/>
  <c r="C143" i="21" s="1"/>
  <c r="A145" i="21"/>
  <c r="C145" i="21" s="1"/>
  <c r="A147" i="21"/>
  <c r="C147" i="21" s="1"/>
  <c r="A149" i="21"/>
  <c r="C149" i="21" s="1"/>
  <c r="G189" i="16"/>
  <c r="A194" i="21"/>
  <c r="C194" i="21" s="1"/>
  <c r="G192" i="16"/>
  <c r="A197" i="21"/>
  <c r="C197" i="21" s="1"/>
  <c r="A154" i="21"/>
  <c r="C154" i="21" s="1"/>
  <c r="A156" i="21"/>
  <c r="C156" i="21" s="1"/>
  <c r="A158" i="21"/>
  <c r="C158" i="21" s="1"/>
  <c r="A160" i="21"/>
  <c r="C160" i="21" s="1"/>
  <c r="A162" i="21"/>
  <c r="C162" i="21" s="1"/>
  <c r="A164" i="21"/>
  <c r="C164" i="21" s="1"/>
  <c r="A166" i="21"/>
  <c r="C166" i="21" s="1"/>
  <c r="A168" i="21"/>
  <c r="C168" i="21" s="1"/>
  <c r="A170" i="21"/>
  <c r="C170" i="21" s="1"/>
  <c r="A172" i="21"/>
  <c r="C172" i="21" s="1"/>
  <c r="A174" i="21"/>
  <c r="C174" i="21" s="1"/>
  <c r="A176" i="21"/>
  <c r="C176" i="21" s="1"/>
  <c r="A178" i="21"/>
  <c r="C178" i="21" s="1"/>
  <c r="A180" i="21"/>
  <c r="C180" i="21" s="1"/>
  <c r="A182" i="21"/>
  <c r="C182" i="21" s="1"/>
  <c r="A184" i="21"/>
  <c r="C184" i="21" s="1"/>
  <c r="A186" i="21"/>
  <c r="C186" i="21" s="1"/>
  <c r="A188" i="21"/>
  <c r="C188" i="21" s="1"/>
  <c r="A190" i="21"/>
  <c r="C190" i="21" s="1"/>
  <c r="A192" i="21"/>
  <c r="C192" i="21" s="1"/>
  <c r="A199" i="21"/>
  <c r="C199" i="21" s="1"/>
  <c r="A201" i="21"/>
  <c r="C201" i="21" s="1"/>
  <c r="A203" i="21"/>
  <c r="C203" i="21" s="1"/>
  <c r="A205" i="21"/>
  <c r="C205" i="21" s="1"/>
  <c r="A207" i="21"/>
  <c r="C207" i="21" s="1"/>
  <c r="A209" i="21"/>
  <c r="C209" i="21" s="1"/>
  <c r="A211" i="21"/>
  <c r="C211" i="21" s="1"/>
  <c r="E209" i="16"/>
  <c r="D209" i="16"/>
  <c r="I209" i="16"/>
  <c r="I210" i="16"/>
  <c r="D210" i="16"/>
  <c r="E210" i="16"/>
  <c r="I212" i="16"/>
  <c r="D212" i="16"/>
  <c r="E212" i="16"/>
  <c r="I214" i="16"/>
  <c r="D214" i="16"/>
  <c r="E214" i="16"/>
  <c r="I233" i="16"/>
  <c r="D233" i="16"/>
  <c r="E233" i="16"/>
  <c r="G233" i="16"/>
  <c r="E216" i="16"/>
  <c r="D216" i="16"/>
  <c r="I216" i="16"/>
  <c r="E220" i="16"/>
  <c r="D220" i="16"/>
  <c r="I220" i="16"/>
  <c r="E224" i="16"/>
  <c r="D224" i="16"/>
  <c r="I224" i="16"/>
  <c r="E228" i="16"/>
  <c r="D228" i="16"/>
  <c r="I228" i="16"/>
  <c r="E232" i="16"/>
  <c r="D232" i="16"/>
  <c r="I232" i="16"/>
  <c r="G218" i="16"/>
  <c r="G222" i="16"/>
  <c r="G226" i="16"/>
  <c r="G230" i="16"/>
  <c r="A239" i="21"/>
  <c r="C238" i="21"/>
  <c r="E218" i="16"/>
  <c r="D218" i="16"/>
  <c r="E222" i="16"/>
  <c r="D222" i="16"/>
  <c r="E226" i="16"/>
  <c r="D226" i="16"/>
  <c r="E230" i="16"/>
  <c r="D230" i="16"/>
  <c r="I237" i="16"/>
  <c r="D237" i="16"/>
  <c r="E237" i="16"/>
  <c r="G237" i="16"/>
  <c r="G236" i="16"/>
  <c r="G245" i="16"/>
  <c r="E249" i="16"/>
  <c r="G191" i="16"/>
  <c r="E236" i="16"/>
  <c r="D236" i="16"/>
  <c r="I248" i="16"/>
  <c r="G249" i="16"/>
  <c r="I241" i="16"/>
  <c r="H3" i="16"/>
  <c r="H50" i="16" s="1"/>
  <c r="I240" i="16"/>
  <c r="I258" i="16"/>
  <c r="D258" i="16"/>
  <c r="I255" i="16"/>
  <c r="D255" i="16"/>
  <c r="I251" i="16"/>
  <c r="D251" i="16"/>
  <c r="I247" i="16"/>
  <c r="D247" i="16"/>
  <c r="I252" i="16"/>
  <c r="E258" i="16"/>
  <c r="E255" i="16"/>
  <c r="E251" i="16"/>
  <c r="E247" i="16"/>
  <c r="D240" i="16"/>
  <c r="C196" i="21"/>
  <c r="J50" i="16" l="1"/>
  <c r="F10" i="16"/>
  <c r="F26" i="16"/>
  <c r="F156" i="16"/>
  <c r="F33" i="16"/>
  <c r="F127" i="16"/>
  <c r="F17" i="16"/>
  <c r="F115" i="16"/>
  <c r="F199" i="16"/>
  <c r="F42" i="16"/>
  <c r="F110" i="16"/>
  <c r="F126" i="16"/>
  <c r="F142" i="16"/>
  <c r="F125" i="16"/>
  <c r="F12" i="16"/>
  <c r="F28" i="16"/>
  <c r="F64" i="16"/>
  <c r="F109" i="16"/>
  <c r="F44" i="16"/>
  <c r="F139" i="16"/>
  <c r="F111" i="16"/>
  <c r="F143" i="16"/>
  <c r="F178" i="16"/>
  <c r="F189" i="16"/>
  <c r="F180" i="16"/>
  <c r="F187" i="16"/>
  <c r="F141" i="16"/>
  <c r="F69" i="16"/>
  <c r="F170" i="16"/>
  <c r="F172" i="16"/>
  <c r="F162" i="16"/>
  <c r="F15" i="16"/>
  <c r="F31" i="16"/>
  <c r="F229" i="16"/>
  <c r="F155" i="16"/>
  <c r="F176" i="16"/>
  <c r="F201" i="16"/>
  <c r="F188" i="16"/>
  <c r="F30" i="16"/>
  <c r="F67" i="16"/>
  <c r="F129" i="16"/>
  <c r="F8" i="16"/>
  <c r="F234" i="16"/>
  <c r="F65" i="16"/>
  <c r="F150" i="16"/>
  <c r="F102" i="16"/>
  <c r="F118" i="16"/>
  <c r="F123" i="16"/>
  <c r="F167" i="16"/>
  <c r="F107" i="16"/>
  <c r="F55" i="16"/>
  <c r="F250" i="16"/>
  <c r="F191" i="16"/>
  <c r="F241" i="16"/>
  <c r="F9" i="16"/>
  <c r="F25" i="16"/>
  <c r="F41" i="16"/>
  <c r="F101" i="16"/>
  <c r="F117" i="16"/>
  <c r="F133" i="16"/>
  <c r="F20" i="16"/>
  <c r="F36" i="16"/>
  <c r="F149" i="16"/>
  <c r="F148" i="16"/>
  <c r="F165" i="16"/>
  <c r="F60" i="16"/>
  <c r="F53" i="16"/>
  <c r="F100" i="16"/>
  <c r="F18" i="16"/>
  <c r="F34" i="16"/>
  <c r="F50" i="16"/>
  <c r="F215" i="16"/>
  <c r="F253" i="16"/>
  <c r="F154" i="16"/>
  <c r="F103" i="16"/>
  <c r="F119" i="16"/>
  <c r="F135" i="16"/>
  <c r="F56" i="16"/>
  <c r="F181" i="16"/>
  <c r="F163" i="16"/>
  <c r="F254" i="16"/>
  <c r="F13" i="16"/>
  <c r="F29" i="16"/>
  <c r="F46" i="16"/>
  <c r="F105" i="16"/>
  <c r="F121" i="16"/>
  <c r="F137" i="16"/>
  <c r="F24" i="16"/>
  <c r="F40" i="16"/>
  <c r="F52" i="16"/>
  <c r="F14" i="16"/>
  <c r="F49" i="16"/>
  <c r="F114" i="16"/>
  <c r="F130" i="16"/>
  <c r="F21" i="16"/>
  <c r="F37" i="16"/>
  <c r="F48" i="16"/>
  <c r="F98" i="16"/>
  <c r="F113" i="16"/>
  <c r="F145" i="16"/>
  <c r="F16" i="16"/>
  <c r="F32" i="16"/>
  <c r="F45" i="16"/>
  <c r="F173" i="16"/>
  <c r="F22" i="16"/>
  <c r="F38" i="16"/>
  <c r="F106" i="16"/>
  <c r="F122" i="16"/>
  <c r="F138" i="16"/>
  <c r="F174" i="16"/>
  <c r="F197" i="16"/>
  <c r="F204" i="16"/>
  <c r="F195" i="16"/>
  <c r="F238" i="16"/>
  <c r="F183" i="16"/>
  <c r="F211" i="16"/>
  <c r="F158" i="16"/>
  <c r="F58" i="16"/>
  <c r="F198" i="16"/>
  <c r="F147" i="16"/>
  <c r="F205" i="16"/>
  <c r="F219" i="16"/>
  <c r="F196" i="16"/>
  <c r="F203" i="16"/>
  <c r="F171" i="16"/>
  <c r="F190" i="16"/>
  <c r="F47" i="16"/>
  <c r="F193" i="16"/>
  <c r="F104" i="16"/>
  <c r="F120" i="16"/>
  <c r="F136" i="16"/>
  <c r="F169" i="16"/>
  <c r="F19" i="16"/>
  <c r="F35" i="16"/>
  <c r="F51" i="16"/>
  <c r="F131" i="16"/>
  <c r="F152" i="16"/>
  <c r="F213" i="16"/>
  <c r="F62" i="16"/>
  <c r="F134" i="16"/>
  <c r="F151" i="16"/>
  <c r="F206" i="16"/>
  <c r="F257" i="16"/>
  <c r="F256" i="16"/>
  <c r="F112" i="16"/>
  <c r="F128" i="16"/>
  <c r="F144" i="16"/>
  <c r="F157" i="16"/>
  <c r="F11" i="16"/>
  <c r="F27" i="16"/>
  <c r="F43" i="16"/>
  <c r="F243" i="16"/>
  <c r="F182" i="16"/>
  <c r="F166" i="16"/>
  <c r="F225" i="16"/>
  <c r="F177" i="16"/>
  <c r="F200" i="16"/>
  <c r="F184" i="16"/>
  <c r="F168" i="16"/>
  <c r="F239" i="16"/>
  <c r="F207" i="16"/>
  <c r="F175" i="16"/>
  <c r="F159" i="16"/>
  <c r="F99" i="16"/>
  <c r="F244" i="16"/>
  <c r="F248" i="16"/>
  <c r="F249" i="16"/>
  <c r="F252" i="16"/>
  <c r="F223" i="16"/>
  <c r="F246" i="16"/>
  <c r="F146" i="16"/>
  <c r="F108" i="16"/>
  <c r="F124" i="16"/>
  <c r="F140" i="16"/>
  <c r="F153" i="16"/>
  <c r="F185" i="16"/>
  <c r="F164" i="16"/>
  <c r="F116" i="16"/>
  <c r="F132" i="16"/>
  <c r="F161" i="16"/>
  <c r="F245" i="16"/>
  <c r="F54" i="16"/>
  <c r="F186" i="16"/>
  <c r="F23" i="16"/>
  <c r="F39" i="16"/>
  <c r="F160" i="16"/>
  <c r="F179" i="16"/>
  <c r="F208" i="16"/>
  <c r="F202" i="16"/>
  <c r="F227" i="16"/>
  <c r="F194" i="16"/>
  <c r="F192" i="16"/>
  <c r="F251" i="16"/>
  <c r="F212" i="16"/>
  <c r="F242" i="16"/>
  <c r="F233" i="16"/>
  <c r="F97" i="16"/>
  <c r="F73" i="16"/>
  <c r="F81" i="16"/>
  <c r="F93" i="16"/>
  <c r="F74" i="16"/>
  <c r="F82" i="16"/>
  <c r="F235" i="16"/>
  <c r="F221" i="16"/>
  <c r="F217" i="16"/>
  <c r="F231" i="16"/>
  <c r="F218" i="16"/>
  <c r="F247" i="16"/>
  <c r="F237" i="16"/>
  <c r="F95" i="16"/>
  <c r="F79" i="16"/>
  <c r="F78" i="16"/>
  <c r="F72" i="16"/>
  <c r="F61" i="16"/>
  <c r="F57" i="16"/>
  <c r="F236" i="16"/>
  <c r="F230" i="16"/>
  <c r="F222" i="16"/>
  <c r="F210" i="16"/>
  <c r="F94" i="16"/>
  <c r="F90" i="16"/>
  <c r="F86" i="16"/>
  <c r="F91" i="16"/>
  <c r="F63" i="16"/>
  <c r="F59" i="16"/>
  <c r="F70" i="16"/>
  <c r="F80" i="16"/>
  <c r="F76" i="16"/>
  <c r="F84" i="16"/>
  <c r="F68" i="16"/>
  <c r="H249" i="16"/>
  <c r="J249" i="16" s="1"/>
  <c r="H245" i="16"/>
  <c r="J245" i="16" s="1"/>
  <c r="H253" i="16"/>
  <c r="J253" i="16" s="1"/>
  <c r="K253" i="16" s="1"/>
  <c r="L253" i="16" s="1"/>
  <c r="B258" i="21" s="1"/>
  <c r="H257" i="16"/>
  <c r="J257" i="16" s="1"/>
  <c r="H191" i="16"/>
  <c r="J191" i="16" s="1"/>
  <c r="H237" i="16"/>
  <c r="J237" i="16" s="1"/>
  <c r="H252" i="16"/>
  <c r="J252" i="16" s="1"/>
  <c r="F66" i="16"/>
  <c r="H241" i="16"/>
  <c r="J241" i="16" s="1"/>
  <c r="H238" i="16"/>
  <c r="J238" i="16" s="1"/>
  <c r="F226" i="16"/>
  <c r="F96" i="16"/>
  <c r="F92" i="16"/>
  <c r="F88" i="16"/>
  <c r="H234" i="16"/>
  <c r="J234" i="16" s="1"/>
  <c r="H258" i="16"/>
  <c r="J258" i="16" s="1"/>
  <c r="H255" i="16"/>
  <c r="J255" i="16" s="1"/>
  <c r="F255" i="16"/>
  <c r="H248" i="16"/>
  <c r="J248" i="16" s="1"/>
  <c r="H233" i="16"/>
  <c r="J233" i="16" s="1"/>
  <c r="F232" i="16"/>
  <c r="F228" i="16"/>
  <c r="F224" i="16"/>
  <c r="F220" i="16"/>
  <c r="F216" i="16"/>
  <c r="H214" i="16"/>
  <c r="J214" i="16" s="1"/>
  <c r="H189" i="16"/>
  <c r="J189" i="16" s="1"/>
  <c r="F83" i="16"/>
  <c r="F75" i="16"/>
  <c r="H84" i="16"/>
  <c r="J84" i="16" s="1"/>
  <c r="H80" i="16"/>
  <c r="J80" i="16" s="1"/>
  <c r="H76" i="16"/>
  <c r="J76" i="16" s="1"/>
  <c r="H70" i="16"/>
  <c r="J70" i="16" s="1"/>
  <c r="H97" i="16"/>
  <c r="J97" i="16" s="1"/>
  <c r="H58" i="16"/>
  <c r="J58" i="16" s="1"/>
  <c r="H54" i="16"/>
  <c r="J54" i="16" s="1"/>
  <c r="K54" i="16" s="1"/>
  <c r="L54" i="16" s="1"/>
  <c r="B59" i="21" s="1"/>
  <c r="D59" i="21" s="1"/>
  <c r="H46" i="16"/>
  <c r="J46" i="16" s="1"/>
  <c r="F240" i="16"/>
  <c r="H242" i="16"/>
  <c r="J242" i="16" s="1"/>
  <c r="H228" i="16"/>
  <c r="J228" i="16" s="1"/>
  <c r="H220" i="16"/>
  <c r="J220" i="16" s="1"/>
  <c r="H224" i="16"/>
  <c r="J224" i="16" s="1"/>
  <c r="H209" i="16"/>
  <c r="J209" i="16" s="1"/>
  <c r="F89" i="16"/>
  <c r="F87" i="16"/>
  <c r="F85" i="16"/>
  <c r="F77" i="16"/>
  <c r="F71" i="16"/>
  <c r="H82" i="16"/>
  <c r="J82" i="16" s="1"/>
  <c r="H78" i="16"/>
  <c r="J78" i="16" s="1"/>
  <c r="H74" i="16"/>
  <c r="J74" i="16" s="1"/>
  <c r="H95" i="16"/>
  <c r="J95" i="16" s="1"/>
  <c r="K95" i="16" s="1"/>
  <c r="L95" i="16" s="1"/>
  <c r="B100" i="21" s="1"/>
  <c r="D100" i="21" s="1"/>
  <c r="H83" i="16"/>
  <c r="J83" i="16" s="1"/>
  <c r="H75" i="16"/>
  <c r="J75" i="16" s="1"/>
  <c r="H93" i="16"/>
  <c r="J93" i="16" s="1"/>
  <c r="H81" i="16"/>
  <c r="J81" i="16" s="1"/>
  <c r="H73" i="16"/>
  <c r="J73" i="16" s="1"/>
  <c r="H60" i="16"/>
  <c r="J60" i="16" s="1"/>
  <c r="H52" i="16"/>
  <c r="J52" i="16" s="1"/>
  <c r="H44" i="16"/>
  <c r="J44" i="16" s="1"/>
  <c r="C239" i="21"/>
  <c r="A240" i="21"/>
  <c r="H230" i="16"/>
  <c r="J230" i="16" s="1"/>
  <c r="H226" i="16"/>
  <c r="J226" i="16" s="1"/>
  <c r="H222" i="16"/>
  <c r="J222" i="16" s="1"/>
  <c r="H218" i="16"/>
  <c r="J218" i="16" s="1"/>
  <c r="F214" i="16"/>
  <c r="H216" i="16"/>
  <c r="J216" i="16" s="1"/>
  <c r="H212" i="16"/>
  <c r="J212" i="16" s="1"/>
  <c r="H147" i="16"/>
  <c r="J147" i="16" s="1"/>
  <c r="H91" i="16"/>
  <c r="J91" i="16" s="1"/>
  <c r="H72" i="16"/>
  <c r="J72" i="16" s="1"/>
  <c r="H66" i="16"/>
  <c r="J66" i="16" s="1"/>
  <c r="H89" i="16"/>
  <c r="J89" i="16" s="1"/>
  <c r="H62" i="16"/>
  <c r="J62" i="16" s="1"/>
  <c r="C2" i="21"/>
  <c r="F258" i="16"/>
  <c r="H251" i="16"/>
  <c r="J251" i="16" s="1"/>
  <c r="H244" i="16"/>
  <c r="J244" i="16" s="1"/>
  <c r="H256" i="16"/>
  <c r="J256" i="16" s="1"/>
  <c r="H254" i="16"/>
  <c r="J254" i="16" s="1"/>
  <c r="H247" i="16"/>
  <c r="J247" i="16" s="1"/>
  <c r="H243" i="16"/>
  <c r="J243" i="16" s="1"/>
  <c r="H239" i="16"/>
  <c r="J239" i="16" s="1"/>
  <c r="H235" i="16"/>
  <c r="J235" i="16" s="1"/>
  <c r="H250" i="16"/>
  <c r="J250" i="16" s="1"/>
  <c r="H190" i="16"/>
  <c r="J190" i="16" s="1"/>
  <c r="H246" i="16"/>
  <c r="J246" i="16" s="1"/>
  <c r="H236" i="16"/>
  <c r="J236" i="16" s="1"/>
  <c r="H231" i="16"/>
  <c r="J231" i="16" s="1"/>
  <c r="H227" i="16"/>
  <c r="J227" i="16" s="1"/>
  <c r="H223" i="16"/>
  <c r="J223" i="16" s="1"/>
  <c r="H219" i="16"/>
  <c r="J219" i="16" s="1"/>
  <c r="H215" i="16"/>
  <c r="J215" i="16" s="1"/>
  <c r="H229" i="16"/>
  <c r="J229" i="16" s="1"/>
  <c r="H225" i="16"/>
  <c r="J225" i="16" s="1"/>
  <c r="H221" i="16"/>
  <c r="J221" i="16" s="1"/>
  <c r="H217" i="16"/>
  <c r="J217" i="16" s="1"/>
  <c r="H206" i="16"/>
  <c r="J206" i="16" s="1"/>
  <c r="H204" i="16"/>
  <c r="J204" i="16" s="1"/>
  <c r="H202" i="16"/>
  <c r="J202" i="16" s="1"/>
  <c r="H213" i="16"/>
  <c r="J213" i="16" s="1"/>
  <c r="H211" i="16"/>
  <c r="J211" i="16" s="1"/>
  <c r="H208" i="16"/>
  <c r="J208" i="16" s="1"/>
  <c r="H207" i="16"/>
  <c r="J207" i="16" s="1"/>
  <c r="H205" i="16"/>
  <c r="J205" i="16" s="1"/>
  <c r="H203" i="16"/>
  <c r="J203" i="16" s="1"/>
  <c r="H188" i="16"/>
  <c r="J188" i="16" s="1"/>
  <c r="K188" i="16" s="1"/>
  <c r="L188" i="16" s="1"/>
  <c r="B193" i="21" s="1"/>
  <c r="D193" i="21" s="1"/>
  <c r="H186" i="16"/>
  <c r="J186" i="16" s="1"/>
  <c r="H184" i="16"/>
  <c r="J184" i="16" s="1"/>
  <c r="H182" i="16"/>
  <c r="J182" i="16" s="1"/>
  <c r="H180" i="16"/>
  <c r="J180" i="16" s="1"/>
  <c r="H178" i="16"/>
  <c r="J178" i="16" s="1"/>
  <c r="K178" i="16" s="1"/>
  <c r="L178" i="16" s="1"/>
  <c r="B183" i="21" s="1"/>
  <c r="D183" i="21" s="1"/>
  <c r="H176" i="16"/>
  <c r="J176" i="16" s="1"/>
  <c r="K176" i="16" s="1"/>
  <c r="L176" i="16" s="1"/>
  <c r="B181" i="21" s="1"/>
  <c r="D181" i="21" s="1"/>
  <c r="H174" i="16"/>
  <c r="J174" i="16" s="1"/>
  <c r="H187" i="16"/>
  <c r="J187" i="16" s="1"/>
  <c r="K187" i="16" s="1"/>
  <c r="L187" i="16" s="1"/>
  <c r="B192" i="21" s="1"/>
  <c r="D192" i="21" s="1"/>
  <c r="H185" i="16"/>
  <c r="J185" i="16" s="1"/>
  <c r="H183" i="16"/>
  <c r="J183" i="16" s="1"/>
  <c r="H181" i="16"/>
  <c r="J181" i="16" s="1"/>
  <c r="H179" i="16"/>
  <c r="J179" i="16" s="1"/>
  <c r="H177" i="16"/>
  <c r="J177" i="16" s="1"/>
  <c r="H201" i="16"/>
  <c r="J201" i="16" s="1"/>
  <c r="H200" i="16"/>
  <c r="J200" i="16" s="1"/>
  <c r="H199" i="16"/>
  <c r="J199" i="16" s="1"/>
  <c r="H198" i="16"/>
  <c r="J198" i="16" s="1"/>
  <c r="H197" i="16"/>
  <c r="J197" i="16" s="1"/>
  <c r="H196" i="16"/>
  <c r="J196" i="16" s="1"/>
  <c r="H195" i="16"/>
  <c r="J195" i="16" s="1"/>
  <c r="H194" i="16"/>
  <c r="J194" i="16" s="1"/>
  <c r="H193" i="16"/>
  <c r="J193" i="16" s="1"/>
  <c r="H175" i="16"/>
  <c r="J175" i="16" s="1"/>
  <c r="H146" i="16"/>
  <c r="J146" i="16" s="1"/>
  <c r="H145" i="16"/>
  <c r="J145" i="16" s="1"/>
  <c r="H143" i="16"/>
  <c r="J143" i="16" s="1"/>
  <c r="H141" i="16"/>
  <c r="J141" i="16" s="1"/>
  <c r="H139" i="16"/>
  <c r="J139" i="16" s="1"/>
  <c r="H137" i="16"/>
  <c r="J137" i="16" s="1"/>
  <c r="H135" i="16"/>
  <c r="J135" i="16" s="1"/>
  <c r="H133" i="16"/>
  <c r="J133" i="16" s="1"/>
  <c r="H131" i="16"/>
  <c r="J131" i="16" s="1"/>
  <c r="H129" i="16"/>
  <c r="J129" i="16" s="1"/>
  <c r="H127" i="16"/>
  <c r="J127" i="16" s="1"/>
  <c r="H144" i="16"/>
  <c r="J144" i="16" s="1"/>
  <c r="H142" i="16"/>
  <c r="J142" i="16" s="1"/>
  <c r="H173" i="16"/>
  <c r="J173" i="16" s="1"/>
  <c r="H172" i="16"/>
  <c r="J172" i="16" s="1"/>
  <c r="H171" i="16"/>
  <c r="J171" i="16" s="1"/>
  <c r="H170" i="16"/>
  <c r="J170" i="16" s="1"/>
  <c r="H169" i="16"/>
  <c r="J169" i="16" s="1"/>
  <c r="H168" i="16"/>
  <c r="J168" i="16" s="1"/>
  <c r="H167" i="16"/>
  <c r="J167" i="16" s="1"/>
  <c r="H166" i="16"/>
  <c r="J166" i="16" s="1"/>
  <c r="H165" i="16"/>
  <c r="J165" i="16" s="1"/>
  <c r="H164" i="16"/>
  <c r="J164" i="16" s="1"/>
  <c r="H163" i="16"/>
  <c r="J163" i="16" s="1"/>
  <c r="H162" i="16"/>
  <c r="J162" i="16" s="1"/>
  <c r="H161" i="16"/>
  <c r="J161" i="16" s="1"/>
  <c r="H160" i="16"/>
  <c r="J160" i="16" s="1"/>
  <c r="H159" i="16"/>
  <c r="J159" i="16" s="1"/>
  <c r="H158" i="16"/>
  <c r="J158" i="16" s="1"/>
  <c r="H157" i="16"/>
  <c r="J157" i="16" s="1"/>
  <c r="H156" i="16"/>
  <c r="J156" i="16" s="1"/>
  <c r="K156" i="16" s="1"/>
  <c r="L156" i="16" s="1"/>
  <c r="B161" i="21" s="1"/>
  <c r="D161" i="21" s="1"/>
  <c r="H155" i="16"/>
  <c r="J155" i="16" s="1"/>
  <c r="H154" i="16"/>
  <c r="J154" i="16" s="1"/>
  <c r="H153" i="16"/>
  <c r="J153" i="16" s="1"/>
  <c r="H152" i="16"/>
  <c r="J152" i="16" s="1"/>
  <c r="H151" i="16"/>
  <c r="J151" i="16" s="1"/>
  <c r="H150" i="16"/>
  <c r="J150" i="16" s="1"/>
  <c r="H149" i="16"/>
  <c r="J149" i="16" s="1"/>
  <c r="H148" i="16"/>
  <c r="J148" i="16" s="1"/>
  <c r="H136" i="16"/>
  <c r="J136" i="16" s="1"/>
  <c r="H128" i="16"/>
  <c r="J128" i="16" s="1"/>
  <c r="H138" i="16"/>
  <c r="J138" i="16" s="1"/>
  <c r="H130" i="16"/>
  <c r="J130" i="16" s="1"/>
  <c r="H126" i="16"/>
  <c r="J126" i="16" s="1"/>
  <c r="H125" i="16"/>
  <c r="J125" i="16" s="1"/>
  <c r="K125" i="16" s="1"/>
  <c r="L125" i="16" s="1"/>
  <c r="B130" i="21" s="1"/>
  <c r="D130" i="21" s="1"/>
  <c r="H124" i="16"/>
  <c r="J124" i="16" s="1"/>
  <c r="H123" i="16"/>
  <c r="J123" i="16" s="1"/>
  <c r="H122" i="16"/>
  <c r="J122" i="16" s="1"/>
  <c r="H121" i="16"/>
  <c r="J121" i="16" s="1"/>
  <c r="H120" i="16"/>
  <c r="J120" i="16" s="1"/>
  <c r="H119" i="16"/>
  <c r="J119" i="16" s="1"/>
  <c r="H118" i="16"/>
  <c r="J118" i="16" s="1"/>
  <c r="H117" i="16"/>
  <c r="J117" i="16" s="1"/>
  <c r="H116" i="16"/>
  <c r="J116" i="16" s="1"/>
  <c r="H115" i="16"/>
  <c r="J115" i="16" s="1"/>
  <c r="K115" i="16" s="1"/>
  <c r="L115" i="16" s="1"/>
  <c r="B120" i="21" s="1"/>
  <c r="D120" i="21" s="1"/>
  <c r="H114" i="16"/>
  <c r="J114" i="16" s="1"/>
  <c r="H113" i="16"/>
  <c r="J113" i="16" s="1"/>
  <c r="H112" i="16"/>
  <c r="J112" i="16" s="1"/>
  <c r="H111" i="16"/>
  <c r="J111" i="16" s="1"/>
  <c r="H110" i="16"/>
  <c r="J110" i="16" s="1"/>
  <c r="H109" i="16"/>
  <c r="J109" i="16" s="1"/>
  <c r="K109" i="16" s="1"/>
  <c r="L109" i="16" s="1"/>
  <c r="B114" i="21" s="1"/>
  <c r="D114" i="21" s="1"/>
  <c r="H108" i="16"/>
  <c r="J108" i="16" s="1"/>
  <c r="H107" i="16"/>
  <c r="J107" i="16" s="1"/>
  <c r="H106" i="16"/>
  <c r="J106" i="16" s="1"/>
  <c r="H105" i="16"/>
  <c r="J105" i="16" s="1"/>
  <c r="H104" i="16"/>
  <c r="J104" i="16" s="1"/>
  <c r="H103" i="16"/>
  <c r="J103" i="16" s="1"/>
  <c r="H102" i="16"/>
  <c r="J102" i="16" s="1"/>
  <c r="H101" i="16"/>
  <c r="J101" i="16" s="1"/>
  <c r="H71" i="16"/>
  <c r="J71" i="16" s="1"/>
  <c r="H69" i="16"/>
  <c r="J69" i="16" s="1"/>
  <c r="K69" i="16" s="1"/>
  <c r="L69" i="16" s="1"/>
  <c r="B74" i="21" s="1"/>
  <c r="D74" i="21" s="1"/>
  <c r="H67" i="16"/>
  <c r="J67" i="16" s="1"/>
  <c r="H65" i="16"/>
  <c r="J65" i="16" s="1"/>
  <c r="H140" i="16"/>
  <c r="J140" i="16" s="1"/>
  <c r="H132" i="16"/>
  <c r="J132" i="16" s="1"/>
  <c r="H99" i="16"/>
  <c r="J99" i="16" s="1"/>
  <c r="H134" i="16"/>
  <c r="J134" i="16" s="1"/>
  <c r="H64" i="16"/>
  <c r="J64" i="16" s="1"/>
  <c r="H63" i="16"/>
  <c r="J63" i="16" s="1"/>
  <c r="H61" i="16"/>
  <c r="J61" i="16" s="1"/>
  <c r="H59" i="16"/>
  <c r="J59" i="16" s="1"/>
  <c r="H57" i="16"/>
  <c r="J57" i="16" s="1"/>
  <c r="H55" i="16"/>
  <c r="J55" i="16" s="1"/>
  <c r="H53" i="16"/>
  <c r="J53" i="16" s="1"/>
  <c r="H51" i="16"/>
  <c r="J51" i="16" s="1"/>
  <c r="H49" i="16"/>
  <c r="J49" i="16" s="1"/>
  <c r="H47" i="16"/>
  <c r="J47" i="16" s="1"/>
  <c r="H45" i="16"/>
  <c r="J45" i="16" s="1"/>
  <c r="H43" i="16"/>
  <c r="J43" i="16" s="1"/>
  <c r="H41" i="16"/>
  <c r="J41" i="16" s="1"/>
  <c r="H39" i="16"/>
  <c r="J39" i="16" s="1"/>
  <c r="H37" i="16"/>
  <c r="J37" i="16" s="1"/>
  <c r="H35" i="16"/>
  <c r="J35" i="16" s="1"/>
  <c r="H33" i="16"/>
  <c r="J33" i="16" s="1"/>
  <c r="H31" i="16"/>
  <c r="J31" i="16" s="1"/>
  <c r="H42" i="16"/>
  <c r="J42" i="16" s="1"/>
  <c r="H40" i="16"/>
  <c r="J40" i="16" s="1"/>
  <c r="H38" i="16"/>
  <c r="J38" i="16" s="1"/>
  <c r="H36" i="16"/>
  <c r="J36" i="16" s="1"/>
  <c r="H34" i="16"/>
  <c r="J34" i="16" s="1"/>
  <c r="H32" i="16"/>
  <c r="J32" i="16" s="1"/>
  <c r="H30" i="16"/>
  <c r="J30" i="16" s="1"/>
  <c r="H28" i="16"/>
  <c r="J28" i="16" s="1"/>
  <c r="K28" i="16" s="1"/>
  <c r="L28" i="16" s="1"/>
  <c r="B33" i="21" s="1"/>
  <c r="D33" i="21" s="1"/>
  <c r="H26" i="16"/>
  <c r="J26" i="16" s="1"/>
  <c r="H24" i="16"/>
  <c r="J24" i="16" s="1"/>
  <c r="H27" i="16"/>
  <c r="J27" i="16" s="1"/>
  <c r="H29" i="16"/>
  <c r="J29" i="16" s="1"/>
  <c r="H23" i="16"/>
  <c r="J23" i="16" s="1"/>
  <c r="H22" i="16"/>
  <c r="J22" i="16" s="1"/>
  <c r="H21" i="16"/>
  <c r="J21" i="16" s="1"/>
  <c r="H20" i="16"/>
  <c r="J20" i="16" s="1"/>
  <c r="H19" i="16"/>
  <c r="J19" i="16" s="1"/>
  <c r="H18" i="16"/>
  <c r="J18" i="16" s="1"/>
  <c r="H17" i="16"/>
  <c r="J17" i="16" s="1"/>
  <c r="H16" i="16"/>
  <c r="J16" i="16" s="1"/>
  <c r="H15" i="16"/>
  <c r="J15" i="16" s="1"/>
  <c r="H14" i="16"/>
  <c r="J14" i="16" s="1"/>
  <c r="H13" i="16"/>
  <c r="J13" i="16" s="1"/>
  <c r="H12" i="16"/>
  <c r="J12" i="16" s="1"/>
  <c r="H11" i="16"/>
  <c r="J11" i="16" s="1"/>
  <c r="H10" i="16"/>
  <c r="J10" i="16" s="1"/>
  <c r="K10" i="16" s="1"/>
  <c r="L10" i="16" s="1"/>
  <c r="B15" i="21" s="1"/>
  <c r="D15" i="21" s="1"/>
  <c r="H9" i="16"/>
  <c r="J9" i="16" s="1"/>
  <c r="H25" i="16"/>
  <c r="J25" i="16" s="1"/>
  <c r="H240" i="16"/>
  <c r="J240" i="16" s="1"/>
  <c r="H210" i="16"/>
  <c r="J210" i="16" s="1"/>
  <c r="H232" i="16"/>
  <c r="J232" i="16" s="1"/>
  <c r="F209" i="16"/>
  <c r="H192" i="16"/>
  <c r="J192" i="16" s="1"/>
  <c r="H100" i="16"/>
  <c r="J100" i="16" s="1"/>
  <c r="H98" i="16"/>
  <c r="J98" i="16" s="1"/>
  <c r="H96" i="16"/>
  <c r="J96" i="16" s="1"/>
  <c r="H94" i="16"/>
  <c r="J94" i="16" s="1"/>
  <c r="H92" i="16"/>
  <c r="J92" i="16" s="1"/>
  <c r="H90" i="16"/>
  <c r="J90" i="16" s="1"/>
  <c r="H88" i="16"/>
  <c r="J88" i="16" s="1"/>
  <c r="H86" i="16"/>
  <c r="J86" i="16" s="1"/>
  <c r="H87" i="16"/>
  <c r="J87" i="16" s="1"/>
  <c r="H79" i="16"/>
  <c r="J79" i="16" s="1"/>
  <c r="H68" i="16"/>
  <c r="J68" i="16" s="1"/>
  <c r="H85" i="16"/>
  <c r="J85" i="16" s="1"/>
  <c r="H77" i="16"/>
  <c r="J77" i="16" s="1"/>
  <c r="H56" i="16"/>
  <c r="J56" i="16" s="1"/>
  <c r="H48" i="16"/>
  <c r="J48" i="16" s="1"/>
  <c r="H8" i="16"/>
  <c r="J8" i="16" s="1"/>
  <c r="K17" i="16" l="1"/>
  <c r="L17" i="16" s="1"/>
  <c r="B22" i="21" s="1"/>
  <c r="D22" i="21" s="1"/>
  <c r="K50" i="16"/>
  <c r="L50" i="16" s="1"/>
  <c r="B55" i="21" s="1"/>
  <c r="D55" i="21" s="1"/>
  <c r="K26" i="16"/>
  <c r="L26" i="16" s="1"/>
  <c r="B31" i="21" s="1"/>
  <c r="D31" i="21" s="1"/>
  <c r="K142" i="16"/>
  <c r="L142" i="16" s="1"/>
  <c r="B147" i="21" s="1"/>
  <c r="D147" i="21" s="1"/>
  <c r="K199" i="16"/>
  <c r="L199" i="16" s="1"/>
  <c r="B204" i="21" s="1"/>
  <c r="D204" i="21" s="1"/>
  <c r="K139" i="16"/>
  <c r="L139" i="16" s="1"/>
  <c r="B144" i="21" s="1"/>
  <c r="D144" i="21" s="1"/>
  <c r="K8" i="16"/>
  <c r="L8" i="16" s="1"/>
  <c r="B13" i="21" s="1"/>
  <c r="D13" i="21" s="1"/>
  <c r="K127" i="16"/>
  <c r="L127" i="16" s="1"/>
  <c r="B132" i="21" s="1"/>
  <c r="D132" i="21" s="1"/>
  <c r="K33" i="16"/>
  <c r="L33" i="16" s="1"/>
  <c r="B38" i="21" s="1"/>
  <c r="D38" i="21" s="1"/>
  <c r="K64" i="16"/>
  <c r="L64" i="16" s="1"/>
  <c r="B69" i="21" s="1"/>
  <c r="D69" i="21" s="1"/>
  <c r="K110" i="16"/>
  <c r="L110" i="16" s="1"/>
  <c r="B115" i="21" s="1"/>
  <c r="D115" i="21" s="1"/>
  <c r="K15" i="16"/>
  <c r="L15" i="16" s="1"/>
  <c r="B20" i="21" s="1"/>
  <c r="D20" i="21" s="1"/>
  <c r="K42" i="16"/>
  <c r="L42" i="16" s="1"/>
  <c r="B47" i="21" s="1"/>
  <c r="D47" i="21" s="1"/>
  <c r="K67" i="16"/>
  <c r="L67" i="16" s="1"/>
  <c r="B72" i="21" s="1"/>
  <c r="D72" i="21" s="1"/>
  <c r="K126" i="16"/>
  <c r="L126" i="16" s="1"/>
  <c r="B131" i="21" s="1"/>
  <c r="D131" i="21" s="1"/>
  <c r="K12" i="16"/>
  <c r="L12" i="16" s="1"/>
  <c r="B17" i="21" s="1"/>
  <c r="D17" i="21" s="1"/>
  <c r="K44" i="16"/>
  <c r="L44" i="16" s="1"/>
  <c r="B49" i="21" s="1"/>
  <c r="D49" i="21" s="1"/>
  <c r="K170" i="16"/>
  <c r="L170" i="16" s="1"/>
  <c r="B175" i="21" s="1"/>
  <c r="D175" i="21" s="1"/>
  <c r="K180" i="16"/>
  <c r="L180" i="16" s="1"/>
  <c r="B185" i="21" s="1"/>
  <c r="D185" i="21" s="1"/>
  <c r="K77" i="16"/>
  <c r="L77" i="16" s="1"/>
  <c r="B82" i="21" s="1"/>
  <c r="D82" i="21" s="1"/>
  <c r="K111" i="16"/>
  <c r="L111" i="16" s="1"/>
  <c r="B116" i="21" s="1"/>
  <c r="D116" i="21" s="1"/>
  <c r="K162" i="16"/>
  <c r="L162" i="16" s="1"/>
  <c r="B167" i="21" s="1"/>
  <c r="D167" i="21" s="1"/>
  <c r="K146" i="16"/>
  <c r="L146" i="16" s="1"/>
  <c r="B151" i="21" s="1"/>
  <c r="D151" i="21" s="1"/>
  <c r="K155" i="16"/>
  <c r="L155" i="16" s="1"/>
  <c r="B160" i="21" s="1"/>
  <c r="D160" i="21" s="1"/>
  <c r="K141" i="16"/>
  <c r="L141" i="16" s="1"/>
  <c r="B146" i="21" s="1"/>
  <c r="D146" i="21" s="1"/>
  <c r="K179" i="16"/>
  <c r="L179" i="16" s="1"/>
  <c r="B184" i="21" s="1"/>
  <c r="D184" i="21" s="1"/>
  <c r="K172" i="16"/>
  <c r="L172" i="16" s="1"/>
  <c r="B177" i="21" s="1"/>
  <c r="D177" i="21" s="1"/>
  <c r="K143" i="16"/>
  <c r="L143" i="16" s="1"/>
  <c r="B148" i="21" s="1"/>
  <c r="D148" i="21" s="1"/>
  <c r="K108" i="16"/>
  <c r="L108" i="16" s="1"/>
  <c r="B113" i="21" s="1"/>
  <c r="D113" i="21" s="1"/>
  <c r="K161" i="16"/>
  <c r="L161" i="16" s="1"/>
  <c r="B166" i="21" s="1"/>
  <c r="D166" i="21" s="1"/>
  <c r="K185" i="16"/>
  <c r="L185" i="16" s="1"/>
  <c r="B190" i="21" s="1"/>
  <c r="D190" i="21" s="1"/>
  <c r="K189" i="16"/>
  <c r="L189" i="16" s="1"/>
  <c r="B194" i="21" s="1"/>
  <c r="D194" i="21" s="1"/>
  <c r="K102" i="16"/>
  <c r="L102" i="16" s="1"/>
  <c r="B107" i="21" s="1"/>
  <c r="D107" i="21" s="1"/>
  <c r="K16" i="16"/>
  <c r="L16" i="16" s="1"/>
  <c r="B21" i="21" s="1"/>
  <c r="D21" i="21" s="1"/>
  <c r="K20" i="16"/>
  <c r="L20" i="16" s="1"/>
  <c r="B25" i="21" s="1"/>
  <c r="D25" i="21" s="1"/>
  <c r="K39" i="16"/>
  <c r="L39" i="16" s="1"/>
  <c r="B44" i="21" s="1"/>
  <c r="D44" i="21" s="1"/>
  <c r="K164" i="16"/>
  <c r="L164" i="16" s="1"/>
  <c r="B169" i="21" s="1"/>
  <c r="D169" i="21" s="1"/>
  <c r="K135" i="16"/>
  <c r="L135" i="16" s="1"/>
  <c r="B140" i="21" s="1"/>
  <c r="D140" i="21" s="1"/>
  <c r="K201" i="16"/>
  <c r="L201" i="16" s="1"/>
  <c r="B206" i="21" s="1"/>
  <c r="D206" i="21" s="1"/>
  <c r="K217" i="16"/>
  <c r="L217" i="16" s="1"/>
  <c r="B222" i="21" s="1"/>
  <c r="D222" i="21" s="1"/>
  <c r="K251" i="16"/>
  <c r="L251" i="16" s="1"/>
  <c r="B256" i="21" s="1"/>
  <c r="K229" i="16"/>
  <c r="L229" i="16" s="1"/>
  <c r="B234" i="21" s="1"/>
  <c r="D234" i="21" s="1"/>
  <c r="K31" i="16"/>
  <c r="L31" i="16" s="1"/>
  <c r="B36" i="21" s="1"/>
  <c r="D36" i="21" s="1"/>
  <c r="K230" i="16"/>
  <c r="L230" i="16" s="1"/>
  <c r="B235" i="21" s="1"/>
  <c r="D235" i="21" s="1"/>
  <c r="K30" i="16"/>
  <c r="L30" i="16" s="1"/>
  <c r="B35" i="21" s="1"/>
  <c r="D35" i="21" s="1"/>
  <c r="K129" i="16"/>
  <c r="L129" i="16" s="1"/>
  <c r="B134" i="21" s="1"/>
  <c r="D134" i="21" s="1"/>
  <c r="K65" i="16"/>
  <c r="L65" i="16" s="1"/>
  <c r="B70" i="21" s="1"/>
  <c r="D70" i="21" s="1"/>
  <c r="K150" i="16"/>
  <c r="L150" i="16" s="1"/>
  <c r="B155" i="21" s="1"/>
  <c r="D155" i="21" s="1"/>
  <c r="K234" i="16"/>
  <c r="L234" i="16" s="1"/>
  <c r="B239" i="21" s="1"/>
  <c r="D239" i="21" s="1"/>
  <c r="K48" i="16"/>
  <c r="L48" i="16" s="1"/>
  <c r="B53" i="21" s="1"/>
  <c r="D53" i="21" s="1"/>
  <c r="K41" i="16"/>
  <c r="L41" i="16" s="1"/>
  <c r="B46" i="21" s="1"/>
  <c r="D46" i="21" s="1"/>
  <c r="K104" i="16"/>
  <c r="L104" i="16" s="1"/>
  <c r="B109" i="21" s="1"/>
  <c r="D109" i="21" s="1"/>
  <c r="K112" i="16"/>
  <c r="L112" i="16" s="1"/>
  <c r="B117" i="21" s="1"/>
  <c r="D117" i="21" s="1"/>
  <c r="K138" i="16"/>
  <c r="L138" i="16" s="1"/>
  <c r="B143" i="21" s="1"/>
  <c r="D143" i="21" s="1"/>
  <c r="K165" i="16"/>
  <c r="L165" i="16" s="1"/>
  <c r="B170" i="21" s="1"/>
  <c r="D170" i="21" s="1"/>
  <c r="K207" i="16"/>
  <c r="L207" i="16" s="1"/>
  <c r="B212" i="21" s="1"/>
  <c r="D212" i="21" s="1"/>
  <c r="K254" i="16"/>
  <c r="L254" i="16" s="1"/>
  <c r="B259" i="21" s="1"/>
  <c r="K167" i="16"/>
  <c r="L167" i="16" s="1"/>
  <c r="B172" i="21" s="1"/>
  <c r="D172" i="21" s="1"/>
  <c r="K36" i="16"/>
  <c r="L36" i="16" s="1"/>
  <c r="B41" i="21" s="1"/>
  <c r="D41" i="21" s="1"/>
  <c r="K107" i="16"/>
  <c r="L107" i="16" s="1"/>
  <c r="B112" i="21" s="1"/>
  <c r="D112" i="21" s="1"/>
  <c r="K130" i="16"/>
  <c r="L130" i="16" s="1"/>
  <c r="B135" i="21" s="1"/>
  <c r="D135" i="21" s="1"/>
  <c r="K184" i="16"/>
  <c r="L184" i="16" s="1"/>
  <c r="B189" i="21" s="1"/>
  <c r="D189" i="21" s="1"/>
  <c r="K213" i="16"/>
  <c r="L213" i="16" s="1"/>
  <c r="B218" i="21" s="1"/>
  <c r="D218" i="21" s="1"/>
  <c r="K52" i="16"/>
  <c r="L52" i="16" s="1"/>
  <c r="B57" i="21" s="1"/>
  <c r="D57" i="21" s="1"/>
  <c r="K58" i="16"/>
  <c r="L58" i="16" s="1"/>
  <c r="B63" i="21" s="1"/>
  <c r="D63" i="21" s="1"/>
  <c r="K134" i="16"/>
  <c r="L134" i="16" s="1"/>
  <c r="B139" i="21" s="1"/>
  <c r="D139" i="21" s="1"/>
  <c r="K131" i="16"/>
  <c r="L131" i="16" s="1"/>
  <c r="B136" i="21" s="1"/>
  <c r="D136" i="21" s="1"/>
  <c r="K204" i="16"/>
  <c r="L204" i="16" s="1"/>
  <c r="B209" i="21" s="1"/>
  <c r="D209" i="21" s="1"/>
  <c r="K256" i="16"/>
  <c r="L256" i="16" s="1"/>
  <c r="B261" i="21" s="1"/>
  <c r="K46" i="16"/>
  <c r="L46" i="16" s="1"/>
  <c r="B51" i="21" s="1"/>
  <c r="D51" i="21" s="1"/>
  <c r="K45" i="16"/>
  <c r="L45" i="16" s="1"/>
  <c r="B50" i="21" s="1"/>
  <c r="D50" i="21" s="1"/>
  <c r="K53" i="16"/>
  <c r="L53" i="16" s="1"/>
  <c r="B58" i="21" s="1"/>
  <c r="D58" i="21" s="1"/>
  <c r="K106" i="16"/>
  <c r="L106" i="16" s="1"/>
  <c r="B111" i="21" s="1"/>
  <c r="D111" i="21" s="1"/>
  <c r="K118" i="16"/>
  <c r="L118" i="16" s="1"/>
  <c r="B123" i="21" s="1"/>
  <c r="D123" i="21" s="1"/>
  <c r="K136" i="16"/>
  <c r="L136" i="16" s="1"/>
  <c r="B141" i="21" s="1"/>
  <c r="D141" i="21" s="1"/>
  <c r="K159" i="16"/>
  <c r="L159" i="16" s="1"/>
  <c r="B164" i="21" s="1"/>
  <c r="D164" i="21" s="1"/>
  <c r="K144" i="16"/>
  <c r="L144" i="16" s="1"/>
  <c r="B149" i="21" s="1"/>
  <c r="D149" i="21" s="1"/>
  <c r="K196" i="16"/>
  <c r="L196" i="16" s="1"/>
  <c r="B201" i="21" s="1"/>
  <c r="D201" i="21" s="1"/>
  <c r="K181" i="16"/>
  <c r="L181" i="16" s="1"/>
  <c r="B186" i="21" s="1"/>
  <c r="D186" i="21" s="1"/>
  <c r="K62" i="16"/>
  <c r="L62" i="16" s="1"/>
  <c r="B67" i="21" s="1"/>
  <c r="D67" i="21" s="1"/>
  <c r="K257" i="16"/>
  <c r="L257" i="16" s="1"/>
  <c r="B262" i="21" s="1"/>
  <c r="K100" i="16"/>
  <c r="L100" i="16" s="1"/>
  <c r="B105" i="21" s="1"/>
  <c r="D105" i="21" s="1"/>
  <c r="K24" i="16"/>
  <c r="L24" i="16" s="1"/>
  <c r="B29" i="21" s="1"/>
  <c r="D29" i="21" s="1"/>
  <c r="K239" i="16"/>
  <c r="L239" i="16" s="1"/>
  <c r="B244" i="21" s="1"/>
  <c r="K25" i="16"/>
  <c r="L25" i="16" s="1"/>
  <c r="B30" i="21" s="1"/>
  <c r="D30" i="21" s="1"/>
  <c r="K119" i="16"/>
  <c r="L119" i="16" s="1"/>
  <c r="B124" i="21" s="1"/>
  <c r="D124" i="21" s="1"/>
  <c r="K123" i="16"/>
  <c r="L123" i="16" s="1"/>
  <c r="B128" i="21" s="1"/>
  <c r="D128" i="21" s="1"/>
  <c r="K148" i="16"/>
  <c r="L148" i="16" s="1"/>
  <c r="B153" i="21" s="1"/>
  <c r="D153" i="21" s="1"/>
  <c r="K193" i="16"/>
  <c r="L193" i="16" s="1"/>
  <c r="B198" i="21" s="1"/>
  <c r="D198" i="21" s="1"/>
  <c r="K250" i="16"/>
  <c r="L250" i="16" s="1"/>
  <c r="B255" i="21" s="1"/>
  <c r="K47" i="16"/>
  <c r="L47" i="16" s="1"/>
  <c r="B52" i="21" s="1"/>
  <c r="D52" i="21" s="1"/>
  <c r="K55" i="16"/>
  <c r="L55" i="16" s="1"/>
  <c r="B60" i="21" s="1"/>
  <c r="D60" i="21" s="1"/>
  <c r="K103" i="16"/>
  <c r="L103" i="16" s="1"/>
  <c r="B108" i="21" s="1"/>
  <c r="D108" i="21" s="1"/>
  <c r="K197" i="16"/>
  <c r="L197" i="16" s="1"/>
  <c r="B202" i="21" s="1"/>
  <c r="D202" i="21" s="1"/>
  <c r="K183" i="16"/>
  <c r="L183" i="16" s="1"/>
  <c r="B188" i="21" s="1"/>
  <c r="D188" i="21" s="1"/>
  <c r="K9" i="16"/>
  <c r="L9" i="16" s="1"/>
  <c r="B14" i="21" s="1"/>
  <c r="D14" i="21" s="1"/>
  <c r="K21" i="16"/>
  <c r="L21" i="16" s="1"/>
  <c r="B26" i="21" s="1"/>
  <c r="D26" i="21" s="1"/>
  <c r="K149" i="16"/>
  <c r="L149" i="16" s="1"/>
  <c r="B154" i="21" s="1"/>
  <c r="D154" i="21" s="1"/>
  <c r="K137" i="16"/>
  <c r="L137" i="16" s="1"/>
  <c r="B142" i="21" s="1"/>
  <c r="D142" i="21" s="1"/>
  <c r="K198" i="16"/>
  <c r="L198" i="16" s="1"/>
  <c r="B203" i="21" s="1"/>
  <c r="D203" i="21" s="1"/>
  <c r="K29" i="16"/>
  <c r="L29" i="16" s="1"/>
  <c r="B34" i="21" s="1"/>
  <c r="D34" i="21" s="1"/>
  <c r="K168" i="16"/>
  <c r="L168" i="16" s="1"/>
  <c r="B173" i="21" s="1"/>
  <c r="D173" i="21" s="1"/>
  <c r="K14" i="16"/>
  <c r="L14" i="16" s="1"/>
  <c r="B19" i="21" s="1"/>
  <c r="D19" i="21" s="1"/>
  <c r="K43" i="16"/>
  <c r="L43" i="16" s="1"/>
  <c r="B48" i="21" s="1"/>
  <c r="D48" i="21" s="1"/>
  <c r="K51" i="16"/>
  <c r="L51" i="16" s="1"/>
  <c r="B56" i="21" s="1"/>
  <c r="D56" i="21" s="1"/>
  <c r="K113" i="16"/>
  <c r="L113" i="16" s="1"/>
  <c r="B118" i="21" s="1"/>
  <c r="D118" i="21" s="1"/>
  <c r="K117" i="16"/>
  <c r="L117" i="16" s="1"/>
  <c r="B122" i="21" s="1"/>
  <c r="D122" i="21" s="1"/>
  <c r="K225" i="16"/>
  <c r="L225" i="16" s="1"/>
  <c r="B230" i="21" s="1"/>
  <c r="D230" i="21" s="1"/>
  <c r="K191" i="16"/>
  <c r="L191" i="16" s="1"/>
  <c r="B196" i="21" s="1"/>
  <c r="D196" i="21" s="1"/>
  <c r="K241" i="16"/>
  <c r="L241" i="16" s="1"/>
  <c r="B246" i="21" s="1"/>
  <c r="K215" i="16"/>
  <c r="L215" i="16" s="1"/>
  <c r="B220" i="21" s="1"/>
  <c r="D220" i="21" s="1"/>
  <c r="K133" i="16"/>
  <c r="L133" i="16" s="1"/>
  <c r="B138" i="21" s="1"/>
  <c r="D138" i="21" s="1"/>
  <c r="K60" i="16"/>
  <c r="L60" i="16" s="1"/>
  <c r="B65" i="21" s="1"/>
  <c r="D65" i="21" s="1"/>
  <c r="K32" i="16"/>
  <c r="L32" i="16" s="1"/>
  <c r="B37" i="21" s="1"/>
  <c r="D37" i="21" s="1"/>
  <c r="K40" i="16"/>
  <c r="L40" i="16" s="1"/>
  <c r="B45" i="21" s="1"/>
  <c r="D45" i="21" s="1"/>
  <c r="K101" i="16"/>
  <c r="L101" i="16" s="1"/>
  <c r="B106" i="21" s="1"/>
  <c r="D106" i="21" s="1"/>
  <c r="K105" i="16"/>
  <c r="L105" i="16" s="1"/>
  <c r="B110" i="21" s="1"/>
  <c r="D110" i="21" s="1"/>
  <c r="K121" i="16"/>
  <c r="L121" i="16" s="1"/>
  <c r="B126" i="21" s="1"/>
  <c r="D126" i="21" s="1"/>
  <c r="K154" i="16"/>
  <c r="L154" i="16" s="1"/>
  <c r="B159" i="21" s="1"/>
  <c r="D159" i="21" s="1"/>
  <c r="K56" i="16"/>
  <c r="L56" i="16" s="1"/>
  <c r="B61" i="21" s="1"/>
  <c r="D61" i="21" s="1"/>
  <c r="K18" i="16"/>
  <c r="L18" i="16" s="1"/>
  <c r="B23" i="21" s="1"/>
  <c r="D23" i="21" s="1"/>
  <c r="K22" i="16"/>
  <c r="L22" i="16" s="1"/>
  <c r="B27" i="21" s="1"/>
  <c r="D27" i="21" s="1"/>
  <c r="K34" i="16"/>
  <c r="L34" i="16" s="1"/>
  <c r="B39" i="21" s="1"/>
  <c r="D39" i="21" s="1"/>
  <c r="K114" i="16"/>
  <c r="L114" i="16" s="1"/>
  <c r="B119" i="21" s="1"/>
  <c r="D119" i="21" s="1"/>
  <c r="K98" i="16"/>
  <c r="L98" i="16" s="1"/>
  <c r="B103" i="21" s="1"/>
  <c r="D103" i="21" s="1"/>
  <c r="K13" i="16"/>
  <c r="L13" i="16" s="1"/>
  <c r="B18" i="21" s="1"/>
  <c r="D18" i="21" s="1"/>
  <c r="K38" i="16"/>
  <c r="L38" i="16" s="1"/>
  <c r="B43" i="21" s="1"/>
  <c r="D43" i="21" s="1"/>
  <c r="K49" i="16"/>
  <c r="L49" i="16" s="1"/>
  <c r="B54" i="21" s="1"/>
  <c r="D54" i="21" s="1"/>
  <c r="K157" i="16"/>
  <c r="L157" i="16" s="1"/>
  <c r="B162" i="21" s="1"/>
  <c r="D162" i="21" s="1"/>
  <c r="K169" i="16"/>
  <c r="L169" i="16" s="1"/>
  <c r="B174" i="21" s="1"/>
  <c r="D174" i="21" s="1"/>
  <c r="K173" i="16"/>
  <c r="L173" i="16" s="1"/>
  <c r="B178" i="21" s="1"/>
  <c r="D178" i="21" s="1"/>
  <c r="K145" i="16"/>
  <c r="L145" i="16" s="1"/>
  <c r="B150" i="21" s="1"/>
  <c r="D150" i="21" s="1"/>
  <c r="K177" i="16"/>
  <c r="L177" i="16" s="1"/>
  <c r="B182" i="21" s="1"/>
  <c r="D182" i="21" s="1"/>
  <c r="K219" i="16"/>
  <c r="L219" i="16" s="1"/>
  <c r="B224" i="21" s="1"/>
  <c r="D224" i="21" s="1"/>
  <c r="K147" i="16"/>
  <c r="L147" i="16" s="1"/>
  <c r="B152" i="21" s="1"/>
  <c r="D152" i="21" s="1"/>
  <c r="K238" i="16"/>
  <c r="L238" i="16" s="1"/>
  <c r="B243" i="21" s="1"/>
  <c r="K37" i="16"/>
  <c r="L37" i="16" s="1"/>
  <c r="B42" i="21" s="1"/>
  <c r="D42" i="21" s="1"/>
  <c r="K122" i="16"/>
  <c r="L122" i="16" s="1"/>
  <c r="B127" i="21" s="1"/>
  <c r="D127" i="21" s="1"/>
  <c r="K163" i="16"/>
  <c r="L163" i="16" s="1"/>
  <c r="B168" i="21" s="1"/>
  <c r="D168" i="21" s="1"/>
  <c r="K174" i="16"/>
  <c r="L174" i="16" s="1"/>
  <c r="B179" i="21" s="1"/>
  <c r="D179" i="21" s="1"/>
  <c r="K203" i="16"/>
  <c r="L203" i="16" s="1"/>
  <c r="B208" i="21" s="1"/>
  <c r="D208" i="21" s="1"/>
  <c r="K211" i="16"/>
  <c r="L211" i="16" s="1"/>
  <c r="B216" i="21" s="1"/>
  <c r="D216" i="21" s="1"/>
  <c r="K243" i="16"/>
  <c r="L243" i="16" s="1"/>
  <c r="B248" i="21" s="1"/>
  <c r="K158" i="16"/>
  <c r="L158" i="16" s="1"/>
  <c r="B163" i="21" s="1"/>
  <c r="D163" i="21" s="1"/>
  <c r="K195" i="16"/>
  <c r="L195" i="16" s="1"/>
  <c r="B200" i="21" s="1"/>
  <c r="D200" i="21" s="1"/>
  <c r="K152" i="16"/>
  <c r="L152" i="16" s="1"/>
  <c r="B157" i="21" s="1"/>
  <c r="D157" i="21" s="1"/>
  <c r="K205" i="16"/>
  <c r="L205" i="16" s="1"/>
  <c r="B210" i="21" s="1"/>
  <c r="D210" i="21" s="1"/>
  <c r="K74" i="16"/>
  <c r="L74" i="16" s="1"/>
  <c r="B79" i="21" s="1"/>
  <c r="D79" i="21" s="1"/>
  <c r="K90" i="16"/>
  <c r="L90" i="16" s="1"/>
  <c r="B95" i="21" s="1"/>
  <c r="D95" i="21" s="1"/>
  <c r="K27" i="16"/>
  <c r="L27" i="16" s="1"/>
  <c r="B32" i="21" s="1"/>
  <c r="D32" i="21" s="1"/>
  <c r="K124" i="16"/>
  <c r="L124" i="16" s="1"/>
  <c r="B129" i="21" s="1"/>
  <c r="D129" i="21" s="1"/>
  <c r="K35" i="16"/>
  <c r="L35" i="16" s="1"/>
  <c r="B40" i="21" s="1"/>
  <c r="D40" i="21" s="1"/>
  <c r="K59" i="16"/>
  <c r="L59" i="16" s="1"/>
  <c r="B64" i="21" s="1"/>
  <c r="D64" i="21" s="1"/>
  <c r="K128" i="16"/>
  <c r="L128" i="16" s="1"/>
  <c r="B133" i="21" s="1"/>
  <c r="D133" i="21" s="1"/>
  <c r="K166" i="16"/>
  <c r="L166" i="16" s="1"/>
  <c r="B171" i="21" s="1"/>
  <c r="D171" i="21" s="1"/>
  <c r="K223" i="16"/>
  <c r="L223" i="16" s="1"/>
  <c r="B228" i="21" s="1"/>
  <c r="D228" i="21" s="1"/>
  <c r="K237" i="16"/>
  <c r="L237" i="16" s="1"/>
  <c r="B242" i="21" s="1"/>
  <c r="K120" i="16"/>
  <c r="L120" i="16" s="1"/>
  <c r="B125" i="21" s="1"/>
  <c r="D125" i="21" s="1"/>
  <c r="K202" i="16"/>
  <c r="L202" i="16" s="1"/>
  <c r="B207" i="21" s="1"/>
  <c r="D207" i="21" s="1"/>
  <c r="K94" i="16"/>
  <c r="L94" i="16" s="1"/>
  <c r="B99" i="21" s="1"/>
  <c r="D99" i="21" s="1"/>
  <c r="K192" i="16"/>
  <c r="L192" i="16" s="1"/>
  <c r="B197" i="21" s="1"/>
  <c r="D197" i="21" s="1"/>
  <c r="K240" i="16"/>
  <c r="L240" i="16" s="1"/>
  <c r="B245" i="21" s="1"/>
  <c r="B3" i="21" s="1"/>
  <c r="K11" i="16"/>
  <c r="L11" i="16" s="1"/>
  <c r="B16" i="21" s="1"/>
  <c r="D16" i="21" s="1"/>
  <c r="K19" i="16"/>
  <c r="L19" i="16" s="1"/>
  <c r="B24" i="21" s="1"/>
  <c r="D24" i="21" s="1"/>
  <c r="K23" i="16"/>
  <c r="L23" i="16" s="1"/>
  <c r="B28" i="21" s="1"/>
  <c r="D28" i="21" s="1"/>
  <c r="K99" i="16"/>
  <c r="L99" i="16" s="1"/>
  <c r="B104" i="21" s="1"/>
  <c r="D104" i="21" s="1"/>
  <c r="K151" i="16"/>
  <c r="L151" i="16" s="1"/>
  <c r="B156" i="21" s="1"/>
  <c r="D156" i="21" s="1"/>
  <c r="K171" i="16"/>
  <c r="L171" i="16" s="1"/>
  <c r="B176" i="21" s="1"/>
  <c r="D176" i="21" s="1"/>
  <c r="K175" i="16"/>
  <c r="L175" i="16" s="1"/>
  <c r="B180" i="21" s="1"/>
  <c r="D180" i="21" s="1"/>
  <c r="K200" i="16"/>
  <c r="L200" i="16" s="1"/>
  <c r="B205" i="21" s="1"/>
  <c r="D205" i="21" s="1"/>
  <c r="K182" i="16"/>
  <c r="L182" i="16" s="1"/>
  <c r="B187" i="21" s="1"/>
  <c r="D187" i="21" s="1"/>
  <c r="K206" i="16"/>
  <c r="L206" i="16" s="1"/>
  <c r="B211" i="21" s="1"/>
  <c r="D211" i="21" s="1"/>
  <c r="K190" i="16"/>
  <c r="L190" i="16" s="1"/>
  <c r="B195" i="21" s="1"/>
  <c r="D195" i="21" s="1"/>
  <c r="K244" i="16"/>
  <c r="L244" i="16" s="1"/>
  <c r="B249" i="21" s="1"/>
  <c r="K72" i="16"/>
  <c r="L72" i="16" s="1"/>
  <c r="B77" i="21" s="1"/>
  <c r="D77" i="21" s="1"/>
  <c r="K63" i="16"/>
  <c r="L63" i="16" s="1"/>
  <c r="B68" i="21" s="1"/>
  <c r="D68" i="21" s="1"/>
  <c r="K252" i="16"/>
  <c r="L252" i="16" s="1"/>
  <c r="B257" i="21" s="1"/>
  <c r="K208" i="16"/>
  <c r="L208" i="16" s="1"/>
  <c r="B213" i="21" s="1"/>
  <c r="D213" i="21" s="1"/>
  <c r="K246" i="16"/>
  <c r="L246" i="16" s="1"/>
  <c r="B251" i="21" s="1"/>
  <c r="K160" i="16"/>
  <c r="L160" i="16" s="1"/>
  <c r="B165" i="21" s="1"/>
  <c r="D165" i="21" s="1"/>
  <c r="K231" i="16"/>
  <c r="L231" i="16" s="1"/>
  <c r="B236" i="21" s="1"/>
  <c r="D236" i="21" s="1"/>
  <c r="K248" i="16"/>
  <c r="L248" i="16" s="1"/>
  <c r="B253" i="21" s="1"/>
  <c r="K140" i="16"/>
  <c r="L140" i="16" s="1"/>
  <c r="B145" i="21" s="1"/>
  <c r="D145" i="21" s="1"/>
  <c r="K116" i="16"/>
  <c r="L116" i="16" s="1"/>
  <c r="B121" i="21" s="1"/>
  <c r="D121" i="21" s="1"/>
  <c r="K87" i="16"/>
  <c r="L87" i="16" s="1"/>
  <c r="B92" i="21" s="1"/>
  <c r="D92" i="21" s="1"/>
  <c r="K153" i="16"/>
  <c r="L153" i="16" s="1"/>
  <c r="B158" i="21" s="1"/>
  <c r="D158" i="21" s="1"/>
  <c r="K186" i="16"/>
  <c r="L186" i="16" s="1"/>
  <c r="B191" i="21" s="1"/>
  <c r="D191" i="21" s="1"/>
  <c r="K249" i="16"/>
  <c r="L249" i="16" s="1"/>
  <c r="B254" i="21" s="1"/>
  <c r="K132" i="16"/>
  <c r="L132" i="16" s="1"/>
  <c r="B137" i="21" s="1"/>
  <c r="D137" i="21" s="1"/>
  <c r="K233" i="16"/>
  <c r="L233" i="16" s="1"/>
  <c r="B238" i="21" s="1"/>
  <c r="D238" i="21" s="1"/>
  <c r="K97" i="16"/>
  <c r="L97" i="16" s="1"/>
  <c r="B102" i="21" s="1"/>
  <c r="D102" i="21" s="1"/>
  <c r="K245" i="16"/>
  <c r="L245" i="16" s="1"/>
  <c r="B250" i="21" s="1"/>
  <c r="K258" i="16"/>
  <c r="L258" i="16" s="1"/>
  <c r="B263" i="21" s="1"/>
  <c r="K96" i="16"/>
  <c r="L96" i="16" s="1"/>
  <c r="B101" i="21" s="1"/>
  <c r="D101" i="21" s="1"/>
  <c r="K61" i="16"/>
  <c r="L61" i="16" s="1"/>
  <c r="B66" i="21" s="1"/>
  <c r="D66" i="21" s="1"/>
  <c r="K227" i="16"/>
  <c r="L227" i="16" s="1"/>
  <c r="B232" i="21" s="1"/>
  <c r="D232" i="21" s="1"/>
  <c r="K68" i="16"/>
  <c r="L68" i="16" s="1"/>
  <c r="B73" i="21" s="1"/>
  <c r="D73" i="21" s="1"/>
  <c r="K82" i="16"/>
  <c r="L82" i="16" s="1"/>
  <c r="B87" i="21" s="1"/>
  <c r="D87" i="21" s="1"/>
  <c r="K71" i="16"/>
  <c r="L71" i="16" s="1"/>
  <c r="B76" i="21" s="1"/>
  <c r="D76" i="21" s="1"/>
  <c r="K70" i="16"/>
  <c r="L70" i="16" s="1"/>
  <c r="B75" i="21" s="1"/>
  <c r="D75" i="21" s="1"/>
  <c r="K86" i="16"/>
  <c r="L86" i="16" s="1"/>
  <c r="B91" i="21" s="1"/>
  <c r="D91" i="21" s="1"/>
  <c r="K212" i="16"/>
  <c r="L212" i="16" s="1"/>
  <c r="B217" i="21" s="1"/>
  <c r="D217" i="21" s="1"/>
  <c r="K73" i="16"/>
  <c r="L73" i="16" s="1"/>
  <c r="B78" i="21" s="1"/>
  <c r="D78" i="21" s="1"/>
  <c r="K66" i="16"/>
  <c r="L66" i="16" s="1"/>
  <c r="B71" i="21" s="1"/>
  <c r="D71" i="21" s="1"/>
  <c r="K222" i="16"/>
  <c r="L222" i="16" s="1"/>
  <c r="B227" i="21" s="1"/>
  <c r="D227" i="21" s="1"/>
  <c r="K232" i="16"/>
  <c r="L232" i="16" s="1"/>
  <c r="B237" i="21" s="1"/>
  <c r="D237" i="21" s="1"/>
  <c r="K216" i="16"/>
  <c r="L216" i="16" s="1"/>
  <c r="B221" i="21" s="1"/>
  <c r="D221" i="21" s="1"/>
  <c r="K81" i="16"/>
  <c r="L81" i="16" s="1"/>
  <c r="B86" i="21" s="1"/>
  <c r="D86" i="21" s="1"/>
  <c r="K92" i="16"/>
  <c r="L92" i="16" s="1"/>
  <c r="B97" i="21" s="1"/>
  <c r="D97" i="21" s="1"/>
  <c r="K210" i="16"/>
  <c r="L210" i="16" s="1"/>
  <c r="B215" i="21" s="1"/>
  <c r="D215" i="21" s="1"/>
  <c r="K57" i="16"/>
  <c r="L57" i="16" s="1"/>
  <c r="B62" i="21" s="1"/>
  <c r="D62" i="21" s="1"/>
  <c r="K194" i="16"/>
  <c r="L194" i="16" s="1"/>
  <c r="B199" i="21" s="1"/>
  <c r="D199" i="21" s="1"/>
  <c r="K91" i="16"/>
  <c r="L91" i="16" s="1"/>
  <c r="B96" i="21" s="1"/>
  <c r="D96" i="21" s="1"/>
  <c r="K242" i="16"/>
  <c r="L242" i="16" s="1"/>
  <c r="B247" i="21" s="1"/>
  <c r="K79" i="16"/>
  <c r="L79" i="16" s="1"/>
  <c r="B84" i="21" s="1"/>
  <c r="D84" i="21" s="1"/>
  <c r="K75" i="16"/>
  <c r="L75" i="16" s="1"/>
  <c r="B80" i="21" s="1"/>
  <c r="D80" i="21" s="1"/>
  <c r="K224" i="16"/>
  <c r="L224" i="16" s="1"/>
  <c r="B229" i="21" s="1"/>
  <c r="D229" i="21" s="1"/>
  <c r="K247" i="16"/>
  <c r="L247" i="16" s="1"/>
  <c r="B252" i="21" s="1"/>
  <c r="K221" i="16"/>
  <c r="L221" i="16" s="1"/>
  <c r="B226" i="21" s="1"/>
  <c r="D226" i="21" s="1"/>
  <c r="K236" i="16"/>
  <c r="L236" i="16" s="1"/>
  <c r="B241" i="21" s="1"/>
  <c r="K93" i="16"/>
  <c r="L93" i="16" s="1"/>
  <c r="B98" i="21" s="1"/>
  <c r="D98" i="21" s="1"/>
  <c r="K76" i="16"/>
  <c r="L76" i="16" s="1"/>
  <c r="B81" i="21" s="1"/>
  <c r="D81" i="21" s="1"/>
  <c r="K78" i="16"/>
  <c r="L78" i="16" s="1"/>
  <c r="B83" i="21" s="1"/>
  <c r="D83" i="21" s="1"/>
  <c r="K84" i="16"/>
  <c r="L84" i="16" s="1"/>
  <c r="B89" i="21" s="1"/>
  <c r="D89" i="21" s="1"/>
  <c r="K89" i="16"/>
  <c r="L89" i="16" s="1"/>
  <c r="B94" i="21" s="1"/>
  <c r="D94" i="21" s="1"/>
  <c r="K235" i="16"/>
  <c r="L235" i="16" s="1"/>
  <c r="B240" i="21" s="1"/>
  <c r="K218" i="16"/>
  <c r="L218" i="16" s="1"/>
  <c r="B223" i="21" s="1"/>
  <c r="D223" i="21" s="1"/>
  <c r="K80" i="16"/>
  <c r="L80" i="16" s="1"/>
  <c r="B85" i="21" s="1"/>
  <c r="D85" i="21" s="1"/>
  <c r="K226" i="16"/>
  <c r="L226" i="16" s="1"/>
  <c r="B231" i="21" s="1"/>
  <c r="D231" i="21" s="1"/>
  <c r="K83" i="16"/>
  <c r="L83" i="16" s="1"/>
  <c r="B88" i="21" s="1"/>
  <c r="D88" i="21" s="1"/>
  <c r="K220" i="16"/>
  <c r="L220" i="16" s="1"/>
  <c r="B225" i="21" s="1"/>
  <c r="D225" i="21" s="1"/>
  <c r="K255" i="16"/>
  <c r="L255" i="16" s="1"/>
  <c r="B260" i="21" s="1"/>
  <c r="K85" i="16"/>
  <c r="L85" i="16" s="1"/>
  <c r="B90" i="21" s="1"/>
  <c r="D90" i="21" s="1"/>
  <c r="K88" i="16"/>
  <c r="L88" i="16" s="1"/>
  <c r="B93" i="21" s="1"/>
  <c r="D93" i="21" s="1"/>
  <c r="K209" i="16"/>
  <c r="L209" i="16" s="1"/>
  <c r="B214" i="21" s="1"/>
  <c r="D214" i="21" s="1"/>
  <c r="K228" i="16"/>
  <c r="L228" i="16" s="1"/>
  <c r="B233" i="21" s="1"/>
  <c r="D233" i="21" s="1"/>
  <c r="A241" i="21"/>
  <c r="C240" i="21"/>
  <c r="K214" i="16"/>
  <c r="L214" i="16" s="1"/>
  <c r="B219" i="21" s="1"/>
  <c r="D219" i="21" s="1"/>
  <c r="B2" i="21" l="1"/>
  <c r="B4" i="21" s="1"/>
  <c r="F7" i="21" s="1"/>
  <c r="D240" i="21"/>
  <c r="A242" i="21"/>
  <c r="C241" i="21"/>
  <c r="D241" i="21" s="1"/>
  <c r="D2" i="21"/>
  <c r="E8" i="21" l="1"/>
  <c r="A243" i="21"/>
  <c r="C242" i="21"/>
  <c r="D242" i="21" s="1"/>
  <c r="C243" i="21" l="1"/>
  <c r="D243" i="21" s="1"/>
  <c r="A244" i="21"/>
  <c r="A245" i="21" l="1"/>
  <c r="C244" i="21"/>
  <c r="D244" i="21" s="1"/>
  <c r="C245" i="21" l="1"/>
  <c r="A246" i="21"/>
  <c r="C246" i="21" l="1"/>
  <c r="D246" i="21" s="1"/>
  <c r="A247" i="21"/>
  <c r="D245" i="21"/>
  <c r="C3" i="21" l="1"/>
  <c r="C4" i="21" s="1"/>
  <c r="D3" i="21"/>
  <c r="A248" i="21"/>
  <c r="C247" i="21"/>
  <c r="D247" i="21" s="1"/>
  <c r="G8" i="21" l="1"/>
  <c r="G9" i="21" s="1"/>
  <c r="E9" i="21"/>
  <c r="F8" i="21"/>
  <c r="F9" i="21" s="1"/>
  <c r="D4" i="21"/>
  <c r="C248" i="21"/>
  <c r="D248" i="21" s="1"/>
  <c r="A249" i="21"/>
  <c r="G248" i="21" l="1"/>
  <c r="F248" i="21"/>
  <c r="G55" i="21"/>
  <c r="G99" i="21"/>
  <c r="G227" i="21"/>
  <c r="G77" i="21"/>
  <c r="G197" i="21"/>
  <c r="G105" i="21"/>
  <c r="G30" i="21"/>
  <c r="G21" i="21"/>
  <c r="G194" i="21"/>
  <c r="G14" i="21"/>
  <c r="G18" i="21"/>
  <c r="G38" i="21"/>
  <c r="G145" i="21"/>
  <c r="G117" i="21"/>
  <c r="G143" i="21"/>
  <c r="G166" i="21"/>
  <c r="G134" i="21"/>
  <c r="G203" i="21"/>
  <c r="G191" i="21"/>
  <c r="G224" i="21"/>
  <c r="G221" i="21"/>
  <c r="G102" i="21"/>
  <c r="G79" i="21"/>
  <c r="G27" i="21"/>
  <c r="G37" i="21"/>
  <c r="G56" i="21"/>
  <c r="G106" i="21"/>
  <c r="G122" i="21"/>
  <c r="G155" i="21"/>
  <c r="G171" i="21"/>
  <c r="G144" i="21"/>
  <c r="G184" i="21"/>
  <c r="G213" i="21"/>
  <c r="G81" i="21"/>
  <c r="G103" i="21"/>
  <c r="G16" i="21"/>
  <c r="G31" i="21"/>
  <c r="G47" i="21"/>
  <c r="G66" i="21"/>
  <c r="G111" i="21"/>
  <c r="G127" i="21"/>
  <c r="G160" i="21"/>
  <c r="G176" i="21"/>
  <c r="G180" i="21"/>
  <c r="G179" i="21"/>
  <c r="G211" i="21"/>
  <c r="G85" i="21"/>
  <c r="G88" i="21"/>
  <c r="G235" i="21"/>
  <c r="G17" i="21"/>
  <c r="G52" i="21"/>
  <c r="G74" i="21"/>
  <c r="G120" i="21"/>
  <c r="G153" i="21"/>
  <c r="G169" i="21"/>
  <c r="G140" i="21"/>
  <c r="G206" i="21"/>
  <c r="G210" i="21"/>
  <c r="G217" i="21"/>
  <c r="G98" i="21"/>
  <c r="G71" i="21"/>
  <c r="G101" i="21"/>
  <c r="G93" i="21"/>
  <c r="G97" i="21"/>
  <c r="G84" i="21"/>
  <c r="G92" i="21"/>
  <c r="G43" i="21"/>
  <c r="G62" i="21"/>
  <c r="G113" i="21"/>
  <c r="G129" i="21"/>
  <c r="G162" i="21"/>
  <c r="G178" i="21"/>
  <c r="G199" i="21"/>
  <c r="G183" i="21"/>
  <c r="G226" i="21"/>
  <c r="G75" i="21"/>
  <c r="G90" i="21"/>
  <c r="G19" i="21"/>
  <c r="G23" i="21"/>
  <c r="G48" i="21"/>
  <c r="G70" i="21"/>
  <c r="G118" i="21"/>
  <c r="G133" i="21"/>
  <c r="G167" i="21"/>
  <c r="G136" i="21"/>
  <c r="G204" i="21"/>
  <c r="G193" i="21"/>
  <c r="G228" i="21"/>
  <c r="G83" i="21"/>
  <c r="G24" i="21"/>
  <c r="G28" i="21"/>
  <c r="G39" i="21"/>
  <c r="G58" i="21"/>
  <c r="G107" i="21"/>
  <c r="G123" i="21"/>
  <c r="G156" i="21"/>
  <c r="G172" i="21"/>
  <c r="G146" i="21"/>
  <c r="G186" i="21"/>
  <c r="G216" i="21"/>
  <c r="G67" i="21"/>
  <c r="G86" i="21"/>
  <c r="G237" i="21"/>
  <c r="G34" i="21"/>
  <c r="G33" i="21"/>
  <c r="G44" i="21"/>
  <c r="G137" i="21"/>
  <c r="G116" i="21"/>
  <c r="G135" i="21"/>
  <c r="G165" i="21"/>
  <c r="G132" i="21"/>
  <c r="G202" i="21"/>
  <c r="G189" i="21"/>
  <c r="G220" i="21"/>
  <c r="G89" i="21"/>
  <c r="G57" i="21"/>
  <c r="G128" i="21"/>
  <c r="G181" i="21"/>
  <c r="G91" i="21"/>
  <c r="G95" i="21"/>
  <c r="G223" i="21"/>
  <c r="G82" i="21"/>
  <c r="G26" i="21"/>
  <c r="G35" i="21"/>
  <c r="G54" i="21"/>
  <c r="G109" i="21"/>
  <c r="G125" i="21"/>
  <c r="G158" i="21"/>
  <c r="G174" i="21"/>
  <c r="G150" i="21"/>
  <c r="G190" i="21"/>
  <c r="G207" i="21"/>
  <c r="G53" i="21"/>
  <c r="G196" i="21"/>
  <c r="G15" i="21"/>
  <c r="G29" i="21"/>
  <c r="G40" i="21"/>
  <c r="G139" i="21"/>
  <c r="G114" i="21"/>
  <c r="G130" i="21"/>
  <c r="G163" i="21"/>
  <c r="G147" i="21"/>
  <c r="G200" i="21"/>
  <c r="G185" i="21"/>
  <c r="G230" i="21"/>
  <c r="G80" i="21"/>
  <c r="G51" i="21"/>
  <c r="G50" i="21"/>
  <c r="G72" i="21"/>
  <c r="G119" i="21"/>
  <c r="G141" i="21"/>
  <c r="G168" i="21"/>
  <c r="G138" i="21"/>
  <c r="G205" i="21"/>
  <c r="G208" i="21"/>
  <c r="G232" i="21"/>
  <c r="G49" i="21"/>
  <c r="G59" i="21"/>
  <c r="G87" i="21"/>
  <c r="G36" i="21"/>
  <c r="G68" i="21"/>
  <c r="G112" i="21"/>
  <c r="G177" i="21"/>
  <c r="G198" i="21"/>
  <c r="G239" i="21"/>
  <c r="G231" i="21"/>
  <c r="G13" i="21"/>
  <c r="G73" i="21"/>
  <c r="G152" i="21"/>
  <c r="G215" i="21"/>
  <c r="G22" i="21"/>
  <c r="G32" i="21"/>
  <c r="G46" i="21"/>
  <c r="G76" i="21"/>
  <c r="G121" i="21"/>
  <c r="G154" i="21"/>
  <c r="G170" i="21"/>
  <c r="G142" i="21"/>
  <c r="G182" i="21"/>
  <c r="G212" i="21"/>
  <c r="G65" i="21"/>
  <c r="G61" i="21"/>
  <c r="G238" i="21"/>
  <c r="G45" i="21"/>
  <c r="G64" i="21"/>
  <c r="G110" i="21"/>
  <c r="G126" i="21"/>
  <c r="G159" i="21"/>
  <c r="G175" i="21"/>
  <c r="G151" i="21"/>
  <c r="G192" i="21"/>
  <c r="G209" i="21"/>
  <c r="G78" i="21"/>
  <c r="G20" i="21"/>
  <c r="G42" i="21"/>
  <c r="G104" i="21"/>
  <c r="G115" i="21"/>
  <c r="G131" i="21"/>
  <c r="G164" i="21"/>
  <c r="G149" i="21"/>
  <c r="G201" i="21"/>
  <c r="G187" i="21"/>
  <c r="G234" i="21"/>
  <c r="G96" i="21"/>
  <c r="G229" i="21"/>
  <c r="G69" i="21"/>
  <c r="G25" i="21"/>
  <c r="G41" i="21"/>
  <c r="G60" i="21"/>
  <c r="G108" i="21"/>
  <c r="G124" i="21"/>
  <c r="G157" i="21"/>
  <c r="G173" i="21"/>
  <c r="G148" i="21"/>
  <c r="G188" i="21"/>
  <c r="G218" i="21"/>
  <c r="G100" i="21"/>
  <c r="G236" i="21"/>
  <c r="G161" i="21"/>
  <c r="G63" i="21"/>
  <c r="G222" i="21"/>
  <c r="G225" i="21"/>
  <c r="G94" i="21"/>
  <c r="G195" i="21"/>
  <c r="G233" i="21"/>
  <c r="G214" i="21"/>
  <c r="G240" i="21"/>
  <c r="G219" i="21"/>
  <c r="G241" i="21"/>
  <c r="G242" i="21"/>
  <c r="G243" i="21"/>
  <c r="G244" i="21"/>
  <c r="G245" i="21"/>
  <c r="G246" i="21"/>
  <c r="A250" i="21"/>
  <c r="C249" i="21"/>
  <c r="D249" i="21" s="1"/>
  <c r="F55" i="21"/>
  <c r="F231" i="21"/>
  <c r="F73" i="21"/>
  <c r="F95" i="21"/>
  <c r="F223" i="21"/>
  <c r="F215" i="21"/>
  <c r="F26" i="21"/>
  <c r="F35" i="21"/>
  <c r="F76" i="21"/>
  <c r="F121" i="21"/>
  <c r="F158" i="21"/>
  <c r="F174" i="21"/>
  <c r="F182" i="21"/>
  <c r="F190" i="21"/>
  <c r="F207" i="21"/>
  <c r="F65" i="21"/>
  <c r="F61" i="21"/>
  <c r="F196" i="21"/>
  <c r="F45" i="21"/>
  <c r="F40" i="21"/>
  <c r="F163" i="21"/>
  <c r="F147" i="21"/>
  <c r="F151" i="21"/>
  <c r="F200" i="21"/>
  <c r="F209" i="21"/>
  <c r="F80" i="21"/>
  <c r="F51" i="21"/>
  <c r="F42" i="21"/>
  <c r="F72" i="21"/>
  <c r="F168" i="21"/>
  <c r="F149" i="21"/>
  <c r="F138" i="21"/>
  <c r="F201" i="21"/>
  <c r="F187" i="21"/>
  <c r="F208" i="21"/>
  <c r="F232" i="21"/>
  <c r="F229" i="21"/>
  <c r="F69" i="21"/>
  <c r="F33" i="21"/>
  <c r="F41" i="21"/>
  <c r="F36" i="21"/>
  <c r="F60" i="21"/>
  <c r="F68" i="21"/>
  <c r="F112" i="21"/>
  <c r="F128" i="21"/>
  <c r="F157" i="21"/>
  <c r="F173" i="21"/>
  <c r="F222" i="21"/>
  <c r="F63" i="21"/>
  <c r="F239" i="21"/>
  <c r="F77" i="21"/>
  <c r="F197" i="21"/>
  <c r="F105" i="21"/>
  <c r="F152" i="21"/>
  <c r="F194" i="21"/>
  <c r="F14" i="21"/>
  <c r="F22" i="21"/>
  <c r="F32" i="21"/>
  <c r="F38" i="21"/>
  <c r="F46" i="21"/>
  <c r="F145" i="21"/>
  <c r="F117" i="21"/>
  <c r="F154" i="21"/>
  <c r="F166" i="21"/>
  <c r="F170" i="21"/>
  <c r="F134" i="21"/>
  <c r="F142" i="21"/>
  <c r="F203" i="21"/>
  <c r="F212" i="21"/>
  <c r="F221" i="21"/>
  <c r="F102" i="21"/>
  <c r="F238" i="21"/>
  <c r="F29" i="21"/>
  <c r="F37" i="21"/>
  <c r="F64" i="21"/>
  <c r="F110" i="21"/>
  <c r="F126" i="21"/>
  <c r="F155" i="21"/>
  <c r="F159" i="21"/>
  <c r="F171" i="21"/>
  <c r="F175" i="21"/>
  <c r="F192" i="21"/>
  <c r="F213" i="21"/>
  <c r="F81" i="21"/>
  <c r="F78" i="21"/>
  <c r="F103" i="21"/>
  <c r="F66" i="21"/>
  <c r="F104" i="21"/>
  <c r="F115" i="21"/>
  <c r="F131" i="21"/>
  <c r="F164" i="21"/>
  <c r="F234" i="21"/>
  <c r="F85" i="21"/>
  <c r="F96" i="21"/>
  <c r="F235" i="21"/>
  <c r="F74" i="21"/>
  <c r="F108" i="21"/>
  <c r="F124" i="21"/>
  <c r="F153" i="21"/>
  <c r="F169" i="21"/>
  <c r="F148" i="21"/>
  <c r="F188" i="21"/>
  <c r="F210" i="21"/>
  <c r="F218" i="21"/>
  <c r="F217" i="21"/>
  <c r="F98" i="21"/>
  <c r="F100" i="21"/>
  <c r="F165" i="21"/>
  <c r="F99" i="21"/>
  <c r="F71" i="21"/>
  <c r="F227" i="21"/>
  <c r="F101" i="21"/>
  <c r="F13" i="21"/>
  <c r="F93" i="21"/>
  <c r="F97" i="21"/>
  <c r="F30" i="21"/>
  <c r="F92" i="21"/>
  <c r="F18" i="21"/>
  <c r="F43" i="21"/>
  <c r="F113" i="21"/>
  <c r="F129" i="21"/>
  <c r="F143" i="21"/>
  <c r="F162" i="21"/>
  <c r="F178" i="21"/>
  <c r="F199" i="21"/>
  <c r="F183" i="21"/>
  <c r="F191" i="21"/>
  <c r="F226" i="21"/>
  <c r="F224" i="21"/>
  <c r="F75" i="21"/>
  <c r="F90" i="21"/>
  <c r="F79" i="21"/>
  <c r="F19" i="21"/>
  <c r="F27" i="21"/>
  <c r="F56" i="21"/>
  <c r="F70" i="21"/>
  <c r="F106" i="21"/>
  <c r="F118" i="21"/>
  <c r="F122" i="21"/>
  <c r="F133" i="21"/>
  <c r="F167" i="21"/>
  <c r="F144" i="21"/>
  <c r="F184" i="21"/>
  <c r="F193" i="21"/>
  <c r="F20" i="21"/>
  <c r="F24" i="21"/>
  <c r="F39" i="21"/>
  <c r="F47" i="21"/>
  <c r="F58" i="21"/>
  <c r="F107" i="21"/>
  <c r="F111" i="21"/>
  <c r="F123" i="21"/>
  <c r="F127" i="21"/>
  <c r="F160" i="21"/>
  <c r="F176" i="21"/>
  <c r="F146" i="21"/>
  <c r="F180" i="21"/>
  <c r="F179" i="21"/>
  <c r="F211" i="21"/>
  <c r="F86" i="21"/>
  <c r="F88" i="21"/>
  <c r="F237" i="21"/>
  <c r="F25" i="21"/>
  <c r="F34" i="21"/>
  <c r="F44" i="21"/>
  <c r="F52" i="21"/>
  <c r="F137" i="21"/>
  <c r="F120" i="21"/>
  <c r="F135" i="21"/>
  <c r="F189" i="21"/>
  <c r="F91" i="21"/>
  <c r="F84" i="21"/>
  <c r="F21" i="21"/>
  <c r="F82" i="21"/>
  <c r="F54" i="21"/>
  <c r="F62" i="21"/>
  <c r="F109" i="21"/>
  <c r="F125" i="21"/>
  <c r="F150" i="21"/>
  <c r="F53" i="21"/>
  <c r="F15" i="21"/>
  <c r="F23" i="21"/>
  <c r="F48" i="21"/>
  <c r="F139" i="21"/>
  <c r="F114" i="21"/>
  <c r="F130" i="21"/>
  <c r="F136" i="21"/>
  <c r="F204" i="21"/>
  <c r="F185" i="21"/>
  <c r="F230" i="21"/>
  <c r="F228" i="21"/>
  <c r="F83" i="21"/>
  <c r="F16" i="21"/>
  <c r="F28" i="21"/>
  <c r="F31" i="21"/>
  <c r="F50" i="21"/>
  <c r="F119" i="21"/>
  <c r="F141" i="21"/>
  <c r="F156" i="21"/>
  <c r="F172" i="21"/>
  <c r="F205" i="21"/>
  <c r="F186" i="21"/>
  <c r="F216" i="21"/>
  <c r="F67" i="21"/>
  <c r="F49" i="21"/>
  <c r="F59" i="21"/>
  <c r="F87" i="21"/>
  <c r="F17" i="21"/>
  <c r="F116" i="21"/>
  <c r="F161" i="21"/>
  <c r="F177" i="21"/>
  <c r="F132" i="21"/>
  <c r="F198" i="21"/>
  <c r="F202" i="21"/>
  <c r="F181" i="21"/>
  <c r="F220" i="21"/>
  <c r="F225" i="21"/>
  <c r="F94" i="21"/>
  <c r="F140" i="21"/>
  <c r="F206" i="21"/>
  <c r="F89" i="21"/>
  <c r="F236" i="21"/>
  <c r="F57" i="21"/>
  <c r="F219" i="21"/>
  <c r="F233" i="21"/>
  <c r="F240" i="21"/>
  <c r="F214" i="21"/>
  <c r="F195" i="21"/>
  <c r="F241" i="21"/>
  <c r="F242" i="21"/>
  <c r="F243" i="21"/>
  <c r="F244" i="21"/>
  <c r="F245" i="21"/>
  <c r="F246" i="21"/>
  <c r="F247" i="21"/>
  <c r="E10" i="21"/>
  <c r="E11" i="21" s="1"/>
  <c r="E247" i="21" s="1"/>
  <c r="G247" i="21"/>
  <c r="E246" i="21" l="1"/>
  <c r="E137" i="21"/>
  <c r="E242" i="21"/>
  <c r="E218" i="21"/>
  <c r="E34" i="21"/>
  <c r="E208" i="21"/>
  <c r="E89" i="21"/>
  <c r="E233" i="21"/>
  <c r="E165" i="21"/>
  <c r="E123" i="21"/>
  <c r="E98" i="21"/>
  <c r="E181" i="21"/>
  <c r="E68" i="21"/>
  <c r="E146" i="21"/>
  <c r="E147" i="21"/>
  <c r="E226" i="21"/>
  <c r="E158" i="21"/>
  <c r="E223" i="21"/>
  <c r="E244" i="21"/>
  <c r="E241" i="21"/>
  <c r="E195" i="21"/>
  <c r="E220" i="21"/>
  <c r="E63" i="21"/>
  <c r="E222" i="21"/>
  <c r="E128" i="21"/>
  <c r="E44" i="21"/>
  <c r="E86" i="21"/>
  <c r="E138" i="21"/>
  <c r="E72" i="21"/>
  <c r="E80" i="21"/>
  <c r="E167" i="21"/>
  <c r="E70" i="21"/>
  <c r="E196" i="21"/>
  <c r="E207" i="21"/>
  <c r="E178" i="21"/>
  <c r="E129" i="21"/>
  <c r="E18" i="21"/>
  <c r="E97" i="21"/>
  <c r="E71" i="21"/>
  <c r="E33" i="21"/>
  <c r="E216" i="21"/>
  <c r="E66" i="21"/>
  <c r="E83" i="21"/>
  <c r="E204" i="21"/>
  <c r="E48" i="21"/>
  <c r="E203" i="21"/>
  <c r="E145" i="21"/>
  <c r="E194" i="21"/>
  <c r="E77" i="21"/>
  <c r="E140" i="21"/>
  <c r="E60" i="21"/>
  <c r="E69" i="21"/>
  <c r="E187" i="21"/>
  <c r="E149" i="21"/>
  <c r="E111" i="21"/>
  <c r="E209" i="21"/>
  <c r="E122" i="21"/>
  <c r="E15" i="21"/>
  <c r="E224" i="21"/>
  <c r="E121" i="21"/>
  <c r="E21" i="21"/>
  <c r="E227" i="21"/>
  <c r="E225" i="21"/>
  <c r="E148" i="21"/>
  <c r="E108" i="21"/>
  <c r="E49" i="21"/>
  <c r="E164" i="21"/>
  <c r="E115" i="21"/>
  <c r="E24" i="21"/>
  <c r="E192" i="21"/>
  <c r="E126" i="21"/>
  <c r="E64" i="21"/>
  <c r="E53" i="21"/>
  <c r="E170" i="21"/>
  <c r="E54" i="21"/>
  <c r="E152" i="21"/>
  <c r="E55" i="21"/>
  <c r="G249" i="21"/>
  <c r="F249" i="21"/>
  <c r="E249" i="21"/>
  <c r="E200" i="21"/>
  <c r="E245" i="21"/>
  <c r="E217" i="21"/>
  <c r="E94" i="21"/>
  <c r="E237" i="21"/>
  <c r="E51" i="21"/>
  <c r="E27" i="21"/>
  <c r="E243" i="21"/>
  <c r="E214" i="21"/>
  <c r="E240" i="21"/>
  <c r="E210" i="21"/>
  <c r="E57" i="21"/>
  <c r="E189" i="21"/>
  <c r="E112" i="21"/>
  <c r="E36" i="21"/>
  <c r="E232" i="21"/>
  <c r="E168" i="21"/>
  <c r="E58" i="21"/>
  <c r="E193" i="21"/>
  <c r="E163" i="21"/>
  <c r="E40" i="21"/>
  <c r="E90" i="21"/>
  <c r="E183" i="21"/>
  <c r="E174" i="21"/>
  <c r="E113" i="21"/>
  <c r="E14" i="21"/>
  <c r="E95" i="21"/>
  <c r="E153" i="21"/>
  <c r="E235" i="21"/>
  <c r="E186" i="21"/>
  <c r="E31" i="21"/>
  <c r="E81" i="21"/>
  <c r="E136" i="21"/>
  <c r="E37" i="21"/>
  <c r="E134" i="21"/>
  <c r="E62" i="21"/>
  <c r="E84" i="21"/>
  <c r="E132" i="21"/>
  <c r="E173" i="21"/>
  <c r="E52" i="21"/>
  <c r="E229" i="21"/>
  <c r="E179" i="21"/>
  <c r="E176" i="21"/>
  <c r="E42" i="21"/>
  <c r="E184" i="21"/>
  <c r="E106" i="21"/>
  <c r="E79" i="21"/>
  <c r="E191" i="21"/>
  <c r="E76" i="21"/>
  <c r="E30" i="21"/>
  <c r="E99" i="21"/>
  <c r="E100" i="21"/>
  <c r="E177" i="21"/>
  <c r="E25" i="21"/>
  <c r="E96" i="21"/>
  <c r="E141" i="21"/>
  <c r="E104" i="21"/>
  <c r="E78" i="21"/>
  <c r="E175" i="21"/>
  <c r="E114" i="21"/>
  <c r="E23" i="21"/>
  <c r="E212" i="21"/>
  <c r="E154" i="21"/>
  <c r="E46" i="21"/>
  <c r="E13" i="21"/>
  <c r="C250" i="21"/>
  <c r="D250" i="21" s="1"/>
  <c r="A251" i="21"/>
  <c r="E248" i="21"/>
  <c r="E39" i="21"/>
  <c r="E29" i="21"/>
  <c r="E75" i="21"/>
  <c r="E190" i="21"/>
  <c r="E162" i="21"/>
  <c r="E43" i="21"/>
  <c r="E92" i="21"/>
  <c r="E93" i="21"/>
  <c r="E116" i="21"/>
  <c r="E85" i="21"/>
  <c r="E172" i="21"/>
  <c r="E16" i="21"/>
  <c r="E228" i="21"/>
  <c r="E171" i="21"/>
  <c r="E102" i="21"/>
  <c r="E166" i="21"/>
  <c r="E38" i="21"/>
  <c r="E105" i="21"/>
  <c r="E236" i="21"/>
  <c r="E157" i="21"/>
  <c r="E41" i="21"/>
  <c r="E88" i="21"/>
  <c r="E201" i="21"/>
  <c r="E160" i="21"/>
  <c r="E47" i="21"/>
  <c r="E151" i="21"/>
  <c r="E56" i="21"/>
  <c r="E61" i="21"/>
  <c r="E182" i="21"/>
  <c r="E26" i="21"/>
  <c r="E73" i="21"/>
  <c r="E202" i="21"/>
  <c r="E188" i="21"/>
  <c r="E161" i="21"/>
  <c r="E87" i="21"/>
  <c r="E234" i="21"/>
  <c r="E131" i="21"/>
  <c r="E50" i="21"/>
  <c r="E230" i="21"/>
  <c r="E159" i="21"/>
  <c r="E110" i="21"/>
  <c r="E19" i="21"/>
  <c r="E150" i="21"/>
  <c r="E125" i="21"/>
  <c r="E32" i="21"/>
  <c r="E91" i="21"/>
  <c r="E133" i="21"/>
  <c r="E219" i="21"/>
  <c r="E135" i="21"/>
  <c r="E107" i="21"/>
  <c r="E118" i="21"/>
  <c r="E199" i="21"/>
  <c r="E35" i="21"/>
  <c r="E101" i="21"/>
  <c r="E74" i="21"/>
  <c r="E67" i="21"/>
  <c r="E156" i="21"/>
  <c r="E103" i="21"/>
  <c r="E213" i="21"/>
  <c r="E155" i="21"/>
  <c r="E221" i="21"/>
  <c r="E117" i="21"/>
  <c r="E22" i="21"/>
  <c r="E197" i="21"/>
  <c r="E206" i="21"/>
  <c r="E120" i="21"/>
  <c r="E17" i="21"/>
  <c r="E211" i="21"/>
  <c r="E180" i="21"/>
  <c r="E127" i="21"/>
  <c r="E20" i="21"/>
  <c r="E144" i="21"/>
  <c r="E45" i="21"/>
  <c r="E65" i="21"/>
  <c r="E143" i="21"/>
  <c r="E215" i="21"/>
  <c r="E231" i="21"/>
  <c r="E169" i="21"/>
  <c r="E198" i="21"/>
  <c r="E124" i="21"/>
  <c r="E59" i="21"/>
  <c r="E205" i="21"/>
  <c r="E119" i="21"/>
  <c r="E28" i="21"/>
  <c r="E185" i="21"/>
  <c r="E130" i="21"/>
  <c r="E139" i="21"/>
  <c r="E238" i="21"/>
  <c r="E142" i="21"/>
  <c r="E109" i="21"/>
  <c r="E82" i="21"/>
  <c r="E239" i="21"/>
  <c r="A252" i="21" l="1"/>
  <c r="C251" i="21"/>
  <c r="D251" i="21" s="1"/>
  <c r="G250" i="21"/>
  <c r="E250" i="21"/>
  <c r="F250" i="21"/>
  <c r="A253" i="21" l="1"/>
  <c r="C252" i="21"/>
  <c r="D252" i="21" s="1"/>
  <c r="G251" i="21"/>
  <c r="F251" i="21"/>
  <c r="E251" i="21"/>
  <c r="A254" i="21" l="1"/>
  <c r="C253" i="21"/>
  <c r="D253" i="21" s="1"/>
  <c r="G252" i="21"/>
  <c r="E252" i="21"/>
  <c r="F252" i="21"/>
  <c r="A255" i="21" l="1"/>
  <c r="C254" i="21"/>
  <c r="D254" i="21" s="1"/>
  <c r="G253" i="21"/>
  <c r="F253" i="21"/>
  <c r="E253" i="21"/>
  <c r="G254" i="21" l="1"/>
  <c r="E254" i="21"/>
  <c r="F254" i="21"/>
  <c r="A256" i="21"/>
  <c r="C255" i="21"/>
  <c r="D255" i="21" s="1"/>
  <c r="C256" i="21" l="1"/>
  <c r="D256" i="21" s="1"/>
  <c r="A257" i="21"/>
  <c r="G255" i="21"/>
  <c r="E255" i="21"/>
  <c r="F255" i="21"/>
  <c r="A258" i="21" l="1"/>
  <c r="C257" i="21"/>
  <c r="D257" i="21" s="1"/>
  <c r="G256" i="21"/>
  <c r="E256" i="21"/>
  <c r="F256" i="21"/>
  <c r="A259" i="21" l="1"/>
  <c r="C258" i="21"/>
  <c r="D258" i="21" s="1"/>
  <c r="G257" i="21"/>
  <c r="F257" i="21"/>
  <c r="E257" i="21"/>
  <c r="G258" i="21" l="1"/>
  <c r="F258" i="21"/>
  <c r="E258" i="21"/>
  <c r="A260" i="21"/>
  <c r="C259" i="21"/>
  <c r="D259" i="21" s="1"/>
  <c r="G259" i="21" l="1"/>
  <c r="E259" i="21"/>
  <c r="F259" i="21"/>
  <c r="A261" i="21"/>
  <c r="C260" i="21"/>
  <c r="D260" i="21" s="1"/>
  <c r="G260" i="21" l="1"/>
  <c r="E260" i="21"/>
  <c r="F260" i="21"/>
  <c r="A262" i="21"/>
  <c r="C261" i="21"/>
  <c r="D261" i="21" s="1"/>
  <c r="C262" i="21" l="1"/>
  <c r="D262" i="21" s="1"/>
  <c r="A263" i="21"/>
  <c r="C263" i="21" s="1"/>
  <c r="D263" i="21" s="1"/>
  <c r="G261" i="21"/>
  <c r="F261" i="21"/>
  <c r="E261" i="21"/>
  <c r="G262" i="21" l="1"/>
  <c r="F262" i="21"/>
  <c r="E262" i="21"/>
  <c r="G263" i="21"/>
  <c r="F263" i="21"/>
  <c r="E263" i="21"/>
</calcChain>
</file>

<file path=xl/sharedStrings.xml><?xml version="1.0" encoding="utf-8"?>
<sst xmlns="http://schemas.openxmlformats.org/spreadsheetml/2006/main" count="176" uniqueCount="137">
  <si>
    <t>Wavelength (nm)</t>
  </si>
  <si>
    <t>A</t>
  </si>
  <si>
    <t>B</t>
  </si>
  <si>
    <t>Version</t>
  </si>
  <si>
    <t>Date</t>
  </si>
  <si>
    <t>This spreadsheet takes as input: Chlorophyll concentration, C, Non-algae particle concentration, X, and CDOM absorption at 443nm, Y</t>
  </si>
  <si>
    <t>From these inputs, using optical theory and certain simplifying assumptions, the total absorption, a, and backscatter, bb, coefficients are calculated</t>
  </si>
  <si>
    <t>and the water-leaving radiance reflectance, RHOw, is calculated and plotted.</t>
  </si>
  <si>
    <t>The purpose of this spreadsheet is to familiarise students with how reflectance varies with water composition</t>
  </si>
  <si>
    <t>by allowing students to vary continuously the three inputs and see the impact on reflectance.</t>
  </si>
  <si>
    <t>because of the limited accuracy of certain model formulations and assumptions.</t>
  </si>
  <si>
    <t>INPUT and OUTPUT</t>
  </si>
  <si>
    <t>PURPOSE</t>
  </si>
  <si>
    <t>DISCLAIMER</t>
  </si>
  <si>
    <r>
      <t xml:space="preserve">This model should </t>
    </r>
    <r>
      <rPr>
        <b/>
        <sz val="10"/>
        <rFont val="Arial"/>
        <family val="2"/>
      </rPr>
      <t>not</t>
    </r>
    <r>
      <rPr>
        <sz val="10"/>
        <rFont val="Arial"/>
      </rPr>
      <t xml:space="preserve"> be used for retrieval of water constituents from remote sensing data </t>
    </r>
  </si>
  <si>
    <t>Chlorophyll to dry weight conversion</t>
  </si>
  <si>
    <t>g/mg</t>
  </si>
  <si>
    <t>m2/g</t>
  </si>
  <si>
    <t xml:space="preserve">Backscatter/scatter ratio of pure water </t>
  </si>
  <si>
    <t>Scattering coefficient at 500nm of pure water</t>
  </si>
  <si>
    <t>aNAP*(443)</t>
  </si>
  <si>
    <t>Chl2DW</t>
  </si>
  <si>
    <t>SNAP</t>
  </si>
  <si>
    <t>SCDOM</t>
  </si>
  <si>
    <t>bbw/bw</t>
  </si>
  <si>
    <t>bw500</t>
  </si>
  <si>
    <t>nw</t>
  </si>
  <si>
    <t>np</t>
  </si>
  <si>
    <t>Constituents</t>
  </si>
  <si>
    <t>Gothic-R</t>
  </si>
  <si>
    <t>f'/Q</t>
  </si>
  <si>
    <t>Gamma</t>
  </si>
  <si>
    <t>Reflectance model</t>
  </si>
  <si>
    <t>aw (/m)</t>
  </si>
  <si>
    <t>Spectra are calculated for inherent optical properties (absorption and backscatter, decomposed into phyotplankton, non-algae particle and CDOM components) and reflectance</t>
  </si>
  <si>
    <t>aph (/m)</t>
  </si>
  <si>
    <t>aNAP (/m)</t>
  </si>
  <si>
    <t>aCDOM (/m)</t>
  </si>
  <si>
    <t>a (/m)</t>
  </si>
  <si>
    <t>Total absorption</t>
  </si>
  <si>
    <t>bbw (/m)</t>
  </si>
  <si>
    <t>bbph (/m)</t>
  </si>
  <si>
    <t>bbNAP (/m)</t>
  </si>
  <si>
    <t>Total backscatter</t>
  </si>
  <si>
    <t>bb (/m)</t>
  </si>
  <si>
    <t>Water-leaving radiance reflectance</t>
  </si>
  <si>
    <t>RHOw (-)</t>
  </si>
  <si>
    <t>Chl a (mg/m3)</t>
  </si>
  <si>
    <t>CDOM443 (/m)</t>
  </si>
  <si>
    <t>MIN</t>
  </si>
  <si>
    <t>MAX</t>
  </si>
  <si>
    <t>IncPER10</t>
  </si>
  <si>
    <t>Counter</t>
  </si>
  <si>
    <t>Value</t>
  </si>
  <si>
    <t>MAXcount</t>
  </si>
  <si>
    <t>TSM      (g/m3)</t>
  </si>
  <si>
    <t>bbp*(555)</t>
  </si>
  <si>
    <t>Specific absorption of non-algae particles at 443nm (=0.041)</t>
  </si>
  <si>
    <t>Logarithmic spectral slope of non-algae particle absorption (=0.0123)</t>
  </si>
  <si>
    <t>/nm</t>
  </si>
  <si>
    <t>Units</t>
  </si>
  <si>
    <t>Default</t>
  </si>
  <si>
    <t>Input</t>
  </si>
  <si>
    <t>Description</t>
  </si>
  <si>
    <t>Inherent Optical Property model for pure water</t>
  </si>
  <si>
    <t>bbph-nu=</t>
  </si>
  <si>
    <t>Remote sensing reflectance</t>
  </si>
  <si>
    <t>Rrs</t>
  </si>
  <si>
    <t>Power law exponent for scattering of pure water</t>
  </si>
  <si>
    <t>PARAMETERS (see also IOP parameters on FRONT page)</t>
  </si>
  <si>
    <t>[Morel and Maritorena, 2001] eq (14)</t>
  </si>
  <si>
    <t>This block of cells is used to implement slider control of the input constituents</t>
  </si>
  <si>
    <t>NAP   (g/m3)</t>
  </si>
  <si>
    <t xml:space="preserve">  NAP   (g/m3)</t>
  </si>
  <si>
    <t>IOP model</t>
  </si>
  <si>
    <t>Sample RSR spectra can be saved here</t>
  </si>
  <si>
    <t>Logarithmic spectral slope of CDOM absorption (=0.0176)</t>
  </si>
  <si>
    <t>Specific backscatter of non-algae particles at 555nm (=0.02*0.51)</t>
  </si>
  <si>
    <t>Saved</t>
  </si>
  <si>
    <t>Sample1</t>
  </si>
  <si>
    <t>Sample2</t>
  </si>
  <si>
    <t>Sample3</t>
  </si>
  <si>
    <t>Sample4</t>
  </si>
  <si>
    <t>User1</t>
  </si>
  <si>
    <t>User2</t>
  </si>
  <si>
    <t>aphy</t>
  </si>
  <si>
    <t>CHANGE HISTORY</t>
  </si>
  <si>
    <t>Development version 2.0 (with buttons for resetting inputs and SIOPs, saving spectrum, etc.)</t>
  </si>
  <si>
    <t>18.7.2006</t>
  </si>
  <si>
    <t>Power law wavelength exponent for scattering of NAP (&lt;=0)</t>
  </si>
  <si>
    <t>PLOTTING</t>
  </si>
  <si>
    <t>If plotted=</t>
  </si>
  <si>
    <t>Plots are hidden by giving -99 values outside axes</t>
  </si>
  <si>
    <t>A and B from (Bricaud et al, 1995)</t>
  </si>
  <si>
    <t>aw from (Buiteveld et al, 1994),</t>
  </si>
  <si>
    <t>aphy*</t>
  </si>
  <si>
    <t>C=</t>
  </si>
  <si>
    <t>Tabulated spectral data for IOPs</t>
  </si>
  <si>
    <t>Bricaud</t>
  </si>
  <si>
    <t>Orange cells are controlled by checkboxes on spectral chart on FRONT</t>
  </si>
  <si>
    <t>23.8.2006 bw bug fixed to bw=0.00288</t>
  </si>
  <si>
    <t>from [Loisel and Morel, 2001]</t>
  </si>
  <si>
    <t>Gamma'</t>
  </si>
  <si>
    <t>for MERIS reflectance</t>
  </si>
  <si>
    <t>for Remote sensing reflectance</t>
  </si>
  <si>
    <t>from [Morel and Gentili, 1996]</t>
  </si>
  <si>
    <t>12.2.2007</t>
  </si>
  <si>
    <t>GothicR*f'/Q modified to 0.13 [Loisel and Morel, 2001]</t>
  </si>
  <si>
    <t>ECOMAMA-MORS simple ocean colour model</t>
  </si>
  <si>
    <t>This spreadsheet was developed by Kevin Ruddick with help from Barbara Van Mol and suggestions from Cedric Lathuy in the framework of the HYPERTEACH project</t>
  </si>
  <si>
    <t>Copyright MUMM/RBINS 2005</t>
  </si>
  <si>
    <t>Remote sensing reflectance plotted instead of water-leaving reflectance</t>
  </si>
  <si>
    <t>INPUT</t>
  </si>
  <si>
    <t>INVERSION</t>
  </si>
  <si>
    <t>Rho_a865=</t>
  </si>
  <si>
    <t>Eps_765_865=</t>
  </si>
  <si>
    <t>Angstrom=</t>
  </si>
  <si>
    <t>Rhow</t>
  </si>
  <si>
    <t>Rho_a</t>
  </si>
  <si>
    <t>Rhow765/Rhow865=</t>
  </si>
  <si>
    <t>Rho_a765=</t>
  </si>
  <si>
    <t>765nm</t>
  </si>
  <si>
    <t>865nm</t>
  </si>
  <si>
    <t>Rhoa</t>
  </si>
  <si>
    <t>Ratio765/865</t>
  </si>
  <si>
    <t>Calculations for 800-900nm added</t>
  </si>
  <si>
    <t>9.7.2012</t>
  </si>
  <si>
    <t>Aerosol correction sheet added</t>
  </si>
  <si>
    <t>&lt;- INPUT  here the atmospheric correction parameter alpha</t>
  </si>
  <si>
    <t>&lt;- INPUT  here the atmospheric correction parameter epsilon</t>
  </si>
  <si>
    <t>RhoRC=Rhow+Rho_a</t>
  </si>
  <si>
    <t>RhowINPUT</t>
  </si>
  <si>
    <t>RhowSIMex</t>
  </si>
  <si>
    <t>RhowOUT(SIM)</t>
  </si>
  <si>
    <t>RhowOUT(DP)</t>
  </si>
  <si>
    <t>RhoRC=Rhow+Rhoa</t>
  </si>
  <si>
    <t>10th July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</si>
</sst>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00000"/>
    <numFmt numFmtId="167" formatCode="0.00000"/>
  </numFmts>
  <fonts count="9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8"/>
      <name val="Arial"/>
    </font>
    <font>
      <b/>
      <sz val="12"/>
      <color rgb="FF000000"/>
      <name val="Arial"/>
      <family val="2"/>
    </font>
    <font>
      <sz val="8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2" fontId="0" fillId="0" borderId="0" xfId="0" applyNumberFormat="1"/>
    <xf numFmtId="165" fontId="0" fillId="0" borderId="0" xfId="0" applyNumberFormat="1"/>
    <xf numFmtId="164" fontId="2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165" fontId="2" fillId="0" borderId="0" xfId="0" applyNumberFormat="1" applyFont="1"/>
    <xf numFmtId="164" fontId="2" fillId="0" borderId="0" xfId="0" applyNumberFormat="1" applyFont="1" applyFill="1" applyBorder="1"/>
    <xf numFmtId="0" fontId="0" fillId="2" borderId="0" xfId="0" applyFill="1"/>
    <xf numFmtId="0" fontId="0" fillId="0" borderId="0" xfId="0" quotePrefix="1" applyAlignment="1">
      <alignment horizontal="left"/>
    </xf>
    <xf numFmtId="165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Alignment="1">
      <alignment horizontal="center"/>
    </xf>
    <xf numFmtId="165" fontId="5" fillId="3" borderId="1" xfId="0" applyNumberFormat="1" applyFont="1" applyFill="1" applyBorder="1" applyAlignment="1">
      <alignment horizontal="center"/>
    </xf>
    <xf numFmtId="165" fontId="5" fillId="4" borderId="0" xfId="0" applyNumberFormat="1" applyFont="1" applyFill="1" applyAlignment="1">
      <alignment horizontal="center"/>
    </xf>
    <xf numFmtId="1" fontId="2" fillId="0" borderId="0" xfId="0" applyNumberFormat="1" applyFont="1" applyFill="1" applyBorder="1"/>
    <xf numFmtId="1" fontId="3" fillId="0" borderId="0" xfId="0" applyNumberFormat="1" applyFont="1" applyFill="1" applyBorder="1"/>
    <xf numFmtId="164" fontId="3" fillId="0" borderId="0" xfId="0" applyNumberFormat="1" applyFont="1" applyFill="1" applyBorder="1"/>
    <xf numFmtId="165" fontId="3" fillId="0" borderId="0" xfId="0" applyNumberFormat="1" applyFont="1"/>
    <xf numFmtId="166" fontId="3" fillId="0" borderId="0" xfId="0" applyNumberFormat="1" applyFont="1"/>
    <xf numFmtId="164" fontId="2" fillId="0" borderId="0" xfId="0" applyNumberFormat="1" applyFont="1" applyAlignment="1">
      <alignment horizontal="right"/>
    </xf>
    <xf numFmtId="0" fontId="2" fillId="2" borderId="0" xfId="0" applyFont="1" applyFill="1"/>
    <xf numFmtId="166" fontId="3" fillId="2" borderId="0" xfId="0" applyNumberFormat="1" applyFont="1" applyFill="1"/>
    <xf numFmtId="0" fontId="1" fillId="3" borderId="0" xfId="0" applyFont="1" applyFill="1"/>
    <xf numFmtId="167" fontId="2" fillId="0" borderId="0" xfId="0" applyNumberFormat="1" applyFont="1"/>
    <xf numFmtId="167" fontId="0" fillId="0" borderId="0" xfId="0" applyNumberFormat="1"/>
    <xf numFmtId="165" fontId="0" fillId="5" borderId="0" xfId="0" applyNumberFormat="1" applyFill="1"/>
    <xf numFmtId="167" fontId="0" fillId="5" borderId="0" xfId="0" applyNumberFormat="1" applyFill="1"/>
    <xf numFmtId="0" fontId="0" fillId="0" borderId="0" xfId="0" applyFill="1"/>
    <xf numFmtId="164" fontId="0" fillId="0" borderId="2" xfId="0" applyNumberFormat="1" applyBorder="1"/>
    <xf numFmtId="167" fontId="3" fillId="0" borderId="0" xfId="0" applyNumberFormat="1" applyFont="1"/>
    <xf numFmtId="0" fontId="0" fillId="3" borderId="0" xfId="0" applyFill="1"/>
    <xf numFmtId="165" fontId="0" fillId="3" borderId="0" xfId="0" applyNumberFormat="1" applyFill="1"/>
    <xf numFmtId="167" fontId="0" fillId="0" borderId="0" xfId="0" applyNumberFormat="1" applyFill="1"/>
    <xf numFmtId="165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Remote Sensing Reflectance</a:t>
            </a:r>
          </a:p>
        </c:rich>
      </c:tx>
      <c:layout>
        <c:manualLayout>
          <c:xMode val="edge"/>
          <c:yMode val="edge"/>
          <c:x val="0.28806642245857134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8750740963261"/>
          <c:y val="0.15775401069518716"/>
          <c:w val="0.64403421592523458"/>
          <c:h val="0.51871657754010692"/>
        </c:manualLayout>
      </c:layout>
      <c:scatterChart>
        <c:scatterStyle val="lineMarker"/>
        <c:varyColors val="0"/>
        <c:ser>
          <c:idx val="0"/>
          <c:order val="0"/>
          <c:tx>
            <c:strRef>
              <c:f>SampleRRS!$L$14</c:f>
              <c:strCache>
                <c:ptCount val="1"/>
                <c:pt idx="0">
                  <c:v>Sample1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SampleRRS!$L$16:$L$266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4-4F6A-BBD5-397F951EB0C3}"/>
            </c:ext>
          </c:extLst>
        </c:ser>
        <c:ser>
          <c:idx val="2"/>
          <c:order val="1"/>
          <c:tx>
            <c:strRef>
              <c:f>SampleRRS!$M$14</c:f>
              <c:strCache>
                <c:ptCount val="1"/>
                <c:pt idx="0">
                  <c:v>Sample2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SampleRRS!$M$16:$M$266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4-4F6A-BBD5-397F951EB0C3}"/>
            </c:ext>
          </c:extLst>
        </c:ser>
        <c:ser>
          <c:idx val="4"/>
          <c:order val="2"/>
          <c:tx>
            <c:strRef>
              <c:f>SampleRRS!$N$14</c:f>
              <c:strCache>
                <c:ptCount val="1"/>
                <c:pt idx="0">
                  <c:v>Sample3</c:v>
                </c:pt>
              </c:strCache>
            </c:strRef>
          </c:tx>
          <c:spPr>
            <a:ln w="254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SampleRRS!$N$16:$N$266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54-4F6A-BBD5-397F951EB0C3}"/>
            </c:ext>
          </c:extLst>
        </c:ser>
        <c:ser>
          <c:idx val="6"/>
          <c:order val="3"/>
          <c:tx>
            <c:strRef>
              <c:f>SampleRRS!$O$14</c:f>
              <c:strCache>
                <c:ptCount val="1"/>
                <c:pt idx="0">
                  <c:v>Sample4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SampleRRS!$O$16:$O$266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54-4F6A-BBD5-397F951EB0C3}"/>
            </c:ext>
          </c:extLst>
        </c:ser>
        <c:ser>
          <c:idx val="7"/>
          <c:order val="4"/>
          <c:tx>
            <c:strRef>
              <c:f>SampleRRS!$P$14</c:f>
              <c:strCache>
                <c:ptCount val="1"/>
                <c:pt idx="0">
                  <c:v>User1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6"/>
            <c:spPr>
              <a:solidFill>
                <a:srgbClr val="FF99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SampleRRS!$P$16:$P$266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54-4F6A-BBD5-397F951EB0C3}"/>
            </c:ext>
          </c:extLst>
        </c:ser>
        <c:ser>
          <c:idx val="8"/>
          <c:order val="5"/>
          <c:tx>
            <c:strRef>
              <c:f>SampleRRS!$Q$14</c:f>
              <c:strCache>
                <c:ptCount val="1"/>
                <c:pt idx="0">
                  <c:v>User2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SampleRRS!$Q$16:$Q$266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54-4F6A-BBD5-397F951EB0C3}"/>
            </c:ext>
          </c:extLst>
        </c:ser>
        <c:ser>
          <c:idx val="1"/>
          <c:order val="6"/>
          <c:tx>
            <c:strRef>
              <c:f>SampleRRS!$K$14</c:f>
              <c:strCache>
                <c:ptCount val="1"/>
                <c:pt idx="0">
                  <c:v>Saved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SampleRRS!$A$16:$A$266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</c:numCache>
            </c:numRef>
          </c:xVal>
          <c:yVal>
            <c:numRef>
              <c:f>SampleRRS!$K$16:$K$266</c:f>
              <c:numCache>
                <c:formatCode>0.000000</c:formatCode>
                <c:ptCount val="251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54-4F6A-BBD5-397F951EB0C3}"/>
            </c:ext>
          </c:extLst>
        </c:ser>
        <c:ser>
          <c:idx val="10"/>
          <c:order val="7"/>
          <c:tx>
            <c:v>Current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CALCULATIONS!$L$8:$L$258</c:f>
              <c:numCache>
                <c:formatCode>0.000000</c:formatCode>
                <c:ptCount val="251"/>
                <c:pt idx="0">
                  <c:v>2.0557522089909252E-2</c:v>
                </c:pt>
                <c:pt idx="1">
                  <c:v>2.021682330858485E-2</c:v>
                </c:pt>
                <c:pt idx="2">
                  <c:v>1.9713310252557233E-2</c:v>
                </c:pt>
                <c:pt idx="3">
                  <c:v>1.9226423215939505E-2</c:v>
                </c:pt>
                <c:pt idx="4">
                  <c:v>1.8729705913835205E-2</c:v>
                </c:pt>
                <c:pt idx="5">
                  <c:v>1.8237408217689773E-2</c:v>
                </c:pt>
                <c:pt idx="6">
                  <c:v>1.775023543459903E-2</c:v>
                </c:pt>
                <c:pt idx="7">
                  <c:v>1.713718308675248E-2</c:v>
                </c:pt>
                <c:pt idx="8">
                  <c:v>1.6684370637434706E-2</c:v>
                </c:pt>
                <c:pt idx="9">
                  <c:v>1.6242645861194612E-2</c:v>
                </c:pt>
                <c:pt idx="10">
                  <c:v>1.5702515780260717E-2</c:v>
                </c:pt>
                <c:pt idx="11">
                  <c:v>1.5169512359408836E-2</c:v>
                </c:pt>
                <c:pt idx="12">
                  <c:v>1.4751212295404274E-2</c:v>
                </c:pt>
                <c:pt idx="13">
                  <c:v>1.4259101535304632E-2</c:v>
                </c:pt>
                <c:pt idx="14">
                  <c:v>1.3886799242083267E-2</c:v>
                </c:pt>
                <c:pt idx="15">
                  <c:v>1.3451992780199965E-2</c:v>
                </c:pt>
                <c:pt idx="16">
                  <c:v>1.3088184939397835E-2</c:v>
                </c:pt>
                <c:pt idx="17">
                  <c:v>1.2644308425471163E-2</c:v>
                </c:pt>
                <c:pt idx="18">
                  <c:v>1.2304125713073462E-2</c:v>
                </c:pt>
                <c:pt idx="19">
                  <c:v>1.1906076932021706E-2</c:v>
                </c:pt>
                <c:pt idx="20">
                  <c:v>1.1615828548688008E-2</c:v>
                </c:pt>
                <c:pt idx="21">
                  <c:v>1.1313559060933205E-2</c:v>
                </c:pt>
                <c:pt idx="22">
                  <c:v>1.1017122650501183E-2</c:v>
                </c:pt>
                <c:pt idx="23">
                  <c:v>1.0736983103238373E-2</c:v>
                </c:pt>
                <c:pt idx="24">
                  <c:v>1.0478796766583511E-2</c:v>
                </c:pt>
                <c:pt idx="25">
                  <c:v>1.0247012328078051E-2</c:v>
                </c:pt>
                <c:pt idx="26">
                  <c:v>1.0005685496733906E-2</c:v>
                </c:pt>
                <c:pt idx="27">
                  <c:v>9.7684921605312464E-3</c:v>
                </c:pt>
                <c:pt idx="28">
                  <c:v>9.5430932284724275E-3</c:v>
                </c:pt>
                <c:pt idx="29">
                  <c:v>9.3202656095446885E-3</c:v>
                </c:pt>
                <c:pt idx="30">
                  <c:v>9.1152923564352083E-3</c:v>
                </c:pt>
                <c:pt idx="31">
                  <c:v>8.9029103628659369E-3</c:v>
                </c:pt>
                <c:pt idx="32">
                  <c:v>8.6943113964148451E-3</c:v>
                </c:pt>
                <c:pt idx="33">
                  <c:v>8.495101762504698E-3</c:v>
                </c:pt>
                <c:pt idx="34">
                  <c:v>8.2592673564081259E-3</c:v>
                </c:pt>
                <c:pt idx="35">
                  <c:v>8.0760204818911309E-3</c:v>
                </c:pt>
                <c:pt idx="36">
                  <c:v>7.8499174133044511E-3</c:v>
                </c:pt>
                <c:pt idx="37">
                  <c:v>7.6282647867716383E-3</c:v>
                </c:pt>
                <c:pt idx="38">
                  <c:v>7.4153721010876824E-3</c:v>
                </c:pt>
                <c:pt idx="39">
                  <c:v>7.178629608919131E-3</c:v>
                </c:pt>
                <c:pt idx="40">
                  <c:v>6.9578666059526987E-3</c:v>
                </c:pt>
                <c:pt idx="41">
                  <c:v>6.7066139306456753E-3</c:v>
                </c:pt>
                <c:pt idx="42">
                  <c:v>6.4715366567221436E-3</c:v>
                </c:pt>
                <c:pt idx="43">
                  <c:v>6.2499027918333757E-3</c:v>
                </c:pt>
                <c:pt idx="44">
                  <c:v>5.9852180874818322E-3</c:v>
                </c:pt>
                <c:pt idx="45">
                  <c:v>5.741351527535239E-3</c:v>
                </c:pt>
                <c:pt idx="46">
                  <c:v>5.4839742280002419E-3</c:v>
                </c:pt>
                <c:pt idx="47">
                  <c:v>5.2251151185135538E-3</c:v>
                </c:pt>
                <c:pt idx="48">
                  <c:v>4.9434593518633283E-3</c:v>
                </c:pt>
                <c:pt idx="49">
                  <c:v>4.6298902227610511E-3</c:v>
                </c:pt>
                <c:pt idx="50">
                  <c:v>4.3322252235647781E-3</c:v>
                </c:pt>
                <c:pt idx="51">
                  <c:v>4.0341465058560348E-3</c:v>
                </c:pt>
                <c:pt idx="52">
                  <c:v>3.7559143870395323E-3</c:v>
                </c:pt>
                <c:pt idx="53">
                  <c:v>3.506938135381357E-3</c:v>
                </c:pt>
                <c:pt idx="54">
                  <c:v>3.2736264657103331E-3</c:v>
                </c:pt>
                <c:pt idx="55">
                  <c:v>3.0641551839530141E-3</c:v>
                </c:pt>
                <c:pt idx="56">
                  <c:v>2.8665582112711442E-3</c:v>
                </c:pt>
                <c:pt idx="57">
                  <c:v>2.6953214658571021E-3</c:v>
                </c:pt>
                <c:pt idx="58">
                  <c:v>2.5457624527746004E-3</c:v>
                </c:pt>
                <c:pt idx="59">
                  <c:v>2.4086592491464587E-3</c:v>
                </c:pt>
                <c:pt idx="60">
                  <c:v>2.3514324013502053E-3</c:v>
                </c:pt>
                <c:pt idx="61">
                  <c:v>2.2850233733613646E-3</c:v>
                </c:pt>
                <c:pt idx="62">
                  <c:v>2.293194332667523E-3</c:v>
                </c:pt>
                <c:pt idx="63">
                  <c:v>2.1734531767930165E-3</c:v>
                </c:pt>
                <c:pt idx="64">
                  <c:v>2.1656069225804218E-3</c:v>
                </c:pt>
                <c:pt idx="65">
                  <c:v>2.1099200856543039E-3</c:v>
                </c:pt>
                <c:pt idx="66">
                  <c:v>2.0116526401503469E-3</c:v>
                </c:pt>
                <c:pt idx="67">
                  <c:v>1.9404986081935974E-3</c:v>
                </c:pt>
                <c:pt idx="68">
                  <c:v>1.8612912583884744E-3</c:v>
                </c:pt>
                <c:pt idx="69">
                  <c:v>1.8011169950866125E-3</c:v>
                </c:pt>
                <c:pt idx="70">
                  <c:v>1.7265827646084635E-3</c:v>
                </c:pt>
                <c:pt idx="71">
                  <c:v>1.6788981454712274E-3</c:v>
                </c:pt>
                <c:pt idx="72">
                  <c:v>1.584851059618405E-3</c:v>
                </c:pt>
                <c:pt idx="73">
                  <c:v>1.5177500306473642E-3</c:v>
                </c:pt>
                <c:pt idx="74">
                  <c:v>1.4473058692150913E-3</c:v>
                </c:pt>
                <c:pt idx="75">
                  <c:v>1.3726533557651785E-3</c:v>
                </c:pt>
                <c:pt idx="76">
                  <c:v>1.3060591232885884E-3</c:v>
                </c:pt>
                <c:pt idx="77">
                  <c:v>1.2501834648453514E-3</c:v>
                </c:pt>
                <c:pt idx="78">
                  <c:v>1.2069575474000754E-3</c:v>
                </c:pt>
                <c:pt idx="79">
                  <c:v>1.1710692112317548E-3</c:v>
                </c:pt>
                <c:pt idx="80">
                  <c:v>1.1332958898200387E-3</c:v>
                </c:pt>
                <c:pt idx="81">
                  <c:v>1.0972717293655301E-3</c:v>
                </c:pt>
                <c:pt idx="82">
                  <c:v>1.0643508219502276E-3</c:v>
                </c:pt>
                <c:pt idx="83">
                  <c:v>1.0243480076688838E-3</c:v>
                </c:pt>
                <c:pt idx="84">
                  <c:v>9.9050284830598588E-4</c:v>
                </c:pt>
                <c:pt idx="85">
                  <c:v>9.4710620973741675E-4</c:v>
                </c:pt>
                <c:pt idx="86">
                  <c:v>9.0317374253424455E-4</c:v>
                </c:pt>
                <c:pt idx="87">
                  <c:v>8.582431574698725E-4</c:v>
                </c:pt>
                <c:pt idx="88">
                  <c:v>8.1022942910346368E-4</c:v>
                </c:pt>
                <c:pt idx="89">
                  <c:v>7.6731864487585596E-4</c:v>
                </c:pt>
                <c:pt idx="90">
                  <c:v>7.1439319920849141E-4</c:v>
                </c:pt>
                <c:pt idx="91">
                  <c:v>6.7268209791976601E-4</c:v>
                </c:pt>
                <c:pt idx="92">
                  <c:v>6.16820738921597E-4</c:v>
                </c:pt>
                <c:pt idx="93">
                  <c:v>5.681353622049841E-4</c:v>
                </c:pt>
                <c:pt idx="94">
                  <c:v>5.199445402009256E-4</c:v>
                </c:pt>
                <c:pt idx="95">
                  <c:v>4.7536732816780178E-4</c:v>
                </c:pt>
                <c:pt idx="96">
                  <c:v>4.3711034567627617E-4</c:v>
                </c:pt>
                <c:pt idx="97">
                  <c:v>4.0266589411990872E-4</c:v>
                </c:pt>
                <c:pt idx="98">
                  <c:v>3.6725513011919562E-4</c:v>
                </c:pt>
                <c:pt idx="99">
                  <c:v>3.3215493602267032E-4</c:v>
                </c:pt>
                <c:pt idx="100">
                  <c:v>2.7501745385670364E-4</c:v>
                </c:pt>
                <c:pt idx="101">
                  <c:v>2.557712641759853E-4</c:v>
                </c:pt>
                <c:pt idx="102">
                  <c:v>2.44562109372575E-4</c:v>
                </c:pt>
                <c:pt idx="103">
                  <c:v>2.2898406340246137E-4</c:v>
                </c:pt>
                <c:pt idx="104">
                  <c:v>2.2092004622637127E-4</c:v>
                </c:pt>
                <c:pt idx="105">
                  <c:v>2.1549513352353694E-4</c:v>
                </c:pt>
                <c:pt idx="106">
                  <c:v>2.1133693631718691E-4</c:v>
                </c:pt>
                <c:pt idx="107">
                  <c:v>2.0721453086101565E-4</c:v>
                </c:pt>
                <c:pt idx="108">
                  <c:v>2.0327477864669704E-4</c:v>
                </c:pt>
                <c:pt idx="109">
                  <c:v>1.9965169508264594E-4</c:v>
                </c:pt>
                <c:pt idx="110">
                  <c:v>1.9583801531822574E-4</c:v>
                </c:pt>
                <c:pt idx="111">
                  <c:v>1.9185461266138149E-4</c:v>
                </c:pt>
                <c:pt idx="112">
                  <c:v>1.8798391461317154E-4</c:v>
                </c:pt>
                <c:pt idx="113">
                  <c:v>1.844755331147092E-4</c:v>
                </c:pt>
                <c:pt idx="114">
                  <c:v>1.8081068900775252E-4</c:v>
                </c:pt>
                <c:pt idx="115">
                  <c:v>1.7700708175071435E-4</c:v>
                </c:pt>
                <c:pt idx="116">
                  <c:v>1.73315768369961E-4</c:v>
                </c:pt>
                <c:pt idx="117">
                  <c:v>1.7029477073605794E-4</c:v>
                </c:pt>
                <c:pt idx="118">
                  <c:v>1.6712680180985579E-4</c:v>
                </c:pt>
                <c:pt idx="119">
                  <c:v>1.6345555912601137E-4</c:v>
                </c:pt>
                <c:pt idx="120">
                  <c:v>1.600527035468751E-4</c:v>
                </c:pt>
                <c:pt idx="121">
                  <c:v>1.5684877274441651E-4</c:v>
                </c:pt>
                <c:pt idx="122">
                  <c:v>1.5354200765805252E-4</c:v>
                </c:pt>
                <c:pt idx="123">
                  <c:v>1.5010218592615196E-4</c:v>
                </c:pt>
                <c:pt idx="124">
                  <c:v>1.4686327450269052E-4</c:v>
                </c:pt>
                <c:pt idx="125">
                  <c:v>1.4320553446944638E-4</c:v>
                </c:pt>
                <c:pt idx="126">
                  <c:v>1.3988856308503166E-4</c:v>
                </c:pt>
                <c:pt idx="127">
                  <c:v>1.3612465733503311E-4</c:v>
                </c:pt>
                <c:pt idx="128">
                  <c:v>1.3160642899981702E-4</c:v>
                </c:pt>
                <c:pt idx="129">
                  <c:v>1.2581631388929607E-4</c:v>
                </c:pt>
                <c:pt idx="130">
                  <c:v>1.1957908417300266E-4</c:v>
                </c:pt>
                <c:pt idx="131">
                  <c:v>1.1427832438593911E-4</c:v>
                </c:pt>
                <c:pt idx="132">
                  <c:v>1.1076750014776006E-4</c:v>
                </c:pt>
                <c:pt idx="133">
                  <c:v>1.0834195416832746E-4</c:v>
                </c:pt>
                <c:pt idx="134">
                  <c:v>1.0669079859132623E-4</c:v>
                </c:pt>
                <c:pt idx="135">
                  <c:v>1.0512651601109213E-4</c:v>
                </c:pt>
                <c:pt idx="136">
                  <c:v>1.034980801309414E-4</c:v>
                </c:pt>
                <c:pt idx="137">
                  <c:v>1.0202892313284879E-4</c:v>
                </c:pt>
                <c:pt idx="138">
                  <c:v>9.9951151591659384E-5</c:v>
                </c:pt>
                <c:pt idx="139">
                  <c:v>9.8007602108916042E-5</c:v>
                </c:pt>
                <c:pt idx="140">
                  <c:v>9.6099028846095139E-5</c:v>
                </c:pt>
                <c:pt idx="141">
                  <c:v>9.392561945966357E-5</c:v>
                </c:pt>
                <c:pt idx="142">
                  <c:v>9.1539506721727978E-5</c:v>
                </c:pt>
                <c:pt idx="143">
                  <c:v>8.9048977977488955E-5</c:v>
                </c:pt>
                <c:pt idx="144">
                  <c:v>8.6401107198956622E-5</c:v>
                </c:pt>
                <c:pt idx="145">
                  <c:v>8.3645278131743673E-5</c:v>
                </c:pt>
                <c:pt idx="146">
                  <c:v>8.0547307656141096E-5</c:v>
                </c:pt>
                <c:pt idx="147">
                  <c:v>7.7250263164881211E-5</c:v>
                </c:pt>
                <c:pt idx="148">
                  <c:v>7.4101480206654335E-5</c:v>
                </c:pt>
                <c:pt idx="149">
                  <c:v>7.0472535735710052E-5</c:v>
                </c:pt>
                <c:pt idx="150">
                  <c:v>6.6833562103482509E-5</c:v>
                </c:pt>
                <c:pt idx="151">
                  <c:v>6.328554269429841E-5</c:v>
                </c:pt>
                <c:pt idx="152">
                  <c:v>5.9720086366132539E-5</c:v>
                </c:pt>
                <c:pt idx="153">
                  <c:v>5.6348257538954792E-5</c:v>
                </c:pt>
                <c:pt idx="154">
                  <c:v>5.2992820575127375E-5</c:v>
                </c:pt>
                <c:pt idx="155">
                  <c:v>4.9591768938783516E-5</c:v>
                </c:pt>
                <c:pt idx="156">
                  <c:v>4.6231792950755918E-5</c:v>
                </c:pt>
                <c:pt idx="157">
                  <c:v>4.2881232017163713E-5</c:v>
                </c:pt>
                <c:pt idx="158">
                  <c:v>3.9455061115563993E-5</c:v>
                </c:pt>
                <c:pt idx="159">
                  <c:v>3.6135980664298653E-5</c:v>
                </c:pt>
                <c:pt idx="160">
                  <c:v>3.3013539298154376E-5</c:v>
                </c:pt>
                <c:pt idx="161">
                  <c:v>3.0089246675311046E-5</c:v>
                </c:pt>
                <c:pt idx="162">
                  <c:v>2.7500965258329911E-5</c:v>
                </c:pt>
                <c:pt idx="163">
                  <c:v>2.5239919623297059E-5</c:v>
                </c:pt>
                <c:pt idx="164">
                  <c:v>2.3116705650942003E-5</c:v>
                </c:pt>
                <c:pt idx="165">
                  <c:v>2.1051073965823879E-5</c:v>
                </c:pt>
                <c:pt idx="166">
                  <c:v>1.8957418018796052E-5</c:v>
                </c:pt>
                <c:pt idx="167">
                  <c:v>1.688952104307736E-5</c:v>
                </c:pt>
                <c:pt idx="168">
                  <c:v>1.5131002462850243E-5</c:v>
                </c:pt>
                <c:pt idx="169">
                  <c:v>1.3852018975392986E-5</c:v>
                </c:pt>
                <c:pt idx="170">
                  <c:v>1.300676207250346E-5</c:v>
                </c:pt>
                <c:pt idx="171">
                  <c:v>1.2466983185824356E-5</c:v>
                </c:pt>
                <c:pt idx="172">
                  <c:v>1.2152626505654606E-5</c:v>
                </c:pt>
                <c:pt idx="173">
                  <c:v>1.1935826750534295E-5</c:v>
                </c:pt>
                <c:pt idx="174">
                  <c:v>1.1769223580704013E-5</c:v>
                </c:pt>
                <c:pt idx="175">
                  <c:v>1.1638759799450667E-5</c:v>
                </c:pt>
                <c:pt idx="176">
                  <c:v>1.1526851966800345E-5</c:v>
                </c:pt>
                <c:pt idx="177">
                  <c:v>1.1422445792940668E-5</c:v>
                </c:pt>
                <c:pt idx="178">
                  <c:v>1.1319967225669208E-5</c:v>
                </c:pt>
                <c:pt idx="179">
                  <c:v>1.1210036722261646E-5</c:v>
                </c:pt>
                <c:pt idx="180">
                  <c:v>1.1103375440122246E-5</c:v>
                </c:pt>
                <c:pt idx="181">
                  <c:v>1.1021703648441034E-5</c:v>
                </c:pt>
                <c:pt idx="182">
                  <c:v>1.0946639469924053E-5</c:v>
                </c:pt>
                <c:pt idx="183">
                  <c:v>1.0892182098019609E-5</c:v>
                </c:pt>
                <c:pt idx="184">
                  <c:v>1.0858112445685462E-5</c:v>
                </c:pt>
                <c:pt idx="185">
                  <c:v>1.0815693977412839E-5</c:v>
                </c:pt>
                <c:pt idx="186">
                  <c:v>1.0770831171096098E-5</c:v>
                </c:pt>
                <c:pt idx="187">
                  <c:v>1.0772615949000769E-5</c:v>
                </c:pt>
                <c:pt idx="188">
                  <c:v>1.0787633403392299E-5</c:v>
                </c:pt>
                <c:pt idx="189">
                  <c:v>1.0800949682335078E-5</c:v>
                </c:pt>
                <c:pt idx="190">
                  <c:v>1.0858037587906261E-5</c:v>
                </c:pt>
                <c:pt idx="191">
                  <c:v>1.089742697812775E-5</c:v>
                </c:pt>
                <c:pt idx="192">
                  <c:v>1.0943494560430174E-5</c:v>
                </c:pt>
                <c:pt idx="193">
                  <c:v>1.1029866979378064E-5</c:v>
                </c:pt>
                <c:pt idx="194">
                  <c:v>1.1122625283108046E-5</c:v>
                </c:pt>
                <c:pt idx="195">
                  <c:v>1.1238771937932375E-5</c:v>
                </c:pt>
                <c:pt idx="196">
                  <c:v>1.1374520892717434E-5</c:v>
                </c:pt>
                <c:pt idx="197">
                  <c:v>1.1494623627210907E-5</c:v>
                </c:pt>
                <c:pt idx="198">
                  <c:v>1.1591735516149623E-5</c:v>
                </c:pt>
                <c:pt idx="199">
                  <c:v>1.1727111087415884E-5</c:v>
                </c:pt>
                <c:pt idx="200">
                  <c:v>1.1863020586919525E-5</c:v>
                </c:pt>
                <c:pt idx="201">
                  <c:v>1.2139504385743795E-5</c:v>
                </c:pt>
                <c:pt idx="202">
                  <c:v>1.2169143862938907E-5</c:v>
                </c:pt>
                <c:pt idx="203">
                  <c:v>1.2165180003598017E-5</c:v>
                </c:pt>
                <c:pt idx="204">
                  <c:v>1.2127094097022049E-5</c:v>
                </c:pt>
                <c:pt idx="205">
                  <c:v>1.2089659022955496E-5</c:v>
                </c:pt>
                <c:pt idx="206">
                  <c:v>1.1945370914704971E-5</c:v>
                </c:pt>
                <c:pt idx="207">
                  <c:v>1.1803736049644891E-5</c:v>
                </c:pt>
                <c:pt idx="208">
                  <c:v>1.1591004293792562E-5</c:v>
                </c:pt>
                <c:pt idx="209">
                  <c:v>1.1313766947011784E-5</c:v>
                </c:pt>
                <c:pt idx="210">
                  <c:v>1.1047389432259985E-5</c:v>
                </c:pt>
                <c:pt idx="211">
                  <c:v>1.0466391515873909E-5</c:v>
                </c:pt>
                <c:pt idx="212">
                  <c:v>9.9387364178748449E-6</c:v>
                </c:pt>
                <c:pt idx="213">
                  <c:v>9.3202985527433021E-6</c:v>
                </c:pt>
                <c:pt idx="214">
                  <c:v>8.6507278729655256E-6</c:v>
                </c:pt>
                <c:pt idx="215">
                  <c:v>8.0657046132313935E-6</c:v>
                </c:pt>
                <c:pt idx="216">
                  <c:v>7.4535691724826526E-6</c:v>
                </c:pt>
                <c:pt idx="217">
                  <c:v>6.9231275015230221E-6</c:v>
                </c:pt>
                <c:pt idx="218">
                  <c:v>6.5787624562869178E-6</c:v>
                </c:pt>
                <c:pt idx="219">
                  <c:v>6.3774151056704852E-6</c:v>
                </c:pt>
                <c:pt idx="220">
                  <c:v>6.1865204721716518E-6</c:v>
                </c:pt>
                <c:pt idx="221">
                  <c:v>6.0784531264546753E-6</c:v>
                </c:pt>
                <c:pt idx="222">
                  <c:v>5.9734145363217273E-6</c:v>
                </c:pt>
                <c:pt idx="223">
                  <c:v>5.8717467610417407E-6</c:v>
                </c:pt>
                <c:pt idx="224">
                  <c:v>5.7732999225438441E-6</c:v>
                </c:pt>
                <c:pt idx="225">
                  <c:v>5.6775000810622256E-6</c:v>
                </c:pt>
                <c:pt idx="226">
                  <c:v>5.5926749540257661E-6</c:v>
                </c:pt>
                <c:pt idx="227">
                  <c:v>5.5098662761350539E-6</c:v>
                </c:pt>
                <c:pt idx="228">
                  <c:v>5.4243975075210621E-6</c:v>
                </c:pt>
                <c:pt idx="229">
                  <c:v>5.3365649113663368E-6</c:v>
                </c:pt>
                <c:pt idx="230">
                  <c:v>5.2510190796023587E-6</c:v>
                </c:pt>
                <c:pt idx="231">
                  <c:v>5.1463744357484757E-6</c:v>
                </c:pt>
                <c:pt idx="232">
                  <c:v>5.0451607488343841E-6</c:v>
                </c:pt>
                <c:pt idx="233">
                  <c:v>4.9527074211538387E-6</c:v>
                </c:pt>
                <c:pt idx="234">
                  <c:v>4.8683492822000271E-6</c:v>
                </c:pt>
                <c:pt idx="235">
                  <c:v>4.7863259479846983E-6</c:v>
                </c:pt>
                <c:pt idx="236">
                  <c:v>4.6826447520031742E-6</c:v>
                </c:pt>
                <c:pt idx="237">
                  <c:v>4.5827095178025594E-6</c:v>
                </c:pt>
                <c:pt idx="238">
                  <c:v>4.4632747875359739E-6</c:v>
                </c:pt>
                <c:pt idx="239">
                  <c:v>4.3273674118702E-6</c:v>
                </c:pt>
                <c:pt idx="240">
                  <c:v>4.1985938660398575E-6</c:v>
                </c:pt>
                <c:pt idx="241">
                  <c:v>4.0973237959841504E-6</c:v>
                </c:pt>
                <c:pt idx="242">
                  <c:v>4.0001895720636521E-6</c:v>
                </c:pt>
                <c:pt idx="243">
                  <c:v>3.9073549666475647E-6</c:v>
                </c:pt>
                <c:pt idx="244">
                  <c:v>3.8185488529462312E-6</c:v>
                </c:pt>
                <c:pt idx="245">
                  <c:v>3.7331510190170037E-6</c:v>
                </c:pt>
                <c:pt idx="246">
                  <c:v>3.6517389501001673E-6</c:v>
                </c:pt>
                <c:pt idx="247">
                  <c:v>3.5733190319448177E-6</c:v>
                </c:pt>
                <c:pt idx="248">
                  <c:v>3.4972465429074969E-6</c:v>
                </c:pt>
                <c:pt idx="249">
                  <c:v>3.4234316516859322E-6</c:v>
                </c:pt>
                <c:pt idx="250">
                  <c:v>3.3522419246186376E-6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54-4F6A-BBD5-397F951EB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54176"/>
        <c:axId val="43956096"/>
      </c:scatterChart>
      <c:valAx>
        <c:axId val="43954176"/>
        <c:scaling>
          <c:orientation val="minMax"/>
          <c:max val="90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1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24897169369633668"/>
              <c:y val="0.740641711229946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56096"/>
        <c:crossesAt val="0"/>
        <c:crossBetween val="midCat"/>
        <c:majorUnit val="50"/>
        <c:minorUnit val="10"/>
      </c:valAx>
      <c:valAx>
        <c:axId val="43956096"/>
        <c:scaling>
          <c:orientation val="minMax"/>
          <c:max val="0.05"/>
          <c:min val="0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54176"/>
        <c:crosses val="autoZero"/>
        <c:crossBetween val="midCat"/>
        <c:majorUnit val="0.01"/>
        <c:minorUnit val="5.0000000000000001E-3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7572071863891828"/>
          <c:y val="0.87700534759358284"/>
          <c:w val="0.68724417929402026"/>
          <c:h val="0.114973262032085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Input constituents</a:t>
            </a:r>
          </a:p>
        </c:rich>
      </c:tx>
      <c:layout>
        <c:manualLayout>
          <c:xMode val="edge"/>
          <c:yMode val="edge"/>
          <c:x val="0.36220565279910188"/>
          <c:y val="5.08021390374331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572236333857074"/>
          <c:y val="0.18983957219251338"/>
          <c:w val="0.73753469881556255"/>
          <c:h val="0.5"/>
        </c:manualLayout>
      </c:layout>
      <c:lineChart>
        <c:grouping val="standard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0"/>
            <c:spPr>
              <a:solidFill>
                <a:srgbClr val="FFCC99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3"/>
            <c:marker>
              <c:spPr>
                <a:solidFill>
                  <a:srgbClr val="C0C0C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  <c:extLst>
              <c:ext xmlns:c16="http://schemas.microsoft.com/office/drawing/2014/chart" uri="{C3380CC4-5D6E-409C-BE32-E72D297353CC}">
                <c16:uniqueId val="{00000001-6A29-46DF-8DAD-BA263496AD7D}"/>
              </c:ext>
            </c:extLst>
          </c:dPt>
          <c:cat>
            <c:strRef>
              <c:f>INPUT!$B$42:$E$42</c:f>
              <c:strCache>
                <c:ptCount val="4"/>
                <c:pt idx="0">
                  <c:v>Chl a (mg/m3)</c:v>
                </c:pt>
                <c:pt idx="1">
                  <c:v>  NAP   (g/m3)</c:v>
                </c:pt>
                <c:pt idx="2">
                  <c:v>CDOM443 (/m)</c:v>
                </c:pt>
                <c:pt idx="3">
                  <c:v>TSM      (g/m3)</c:v>
                </c:pt>
              </c:strCache>
            </c:strRef>
          </c:cat>
          <c:val>
            <c:numRef>
              <c:f>INPUT!$B$23:$E$23</c:f>
              <c:numCache>
                <c:formatCode>0.000</c:formatCode>
                <c:ptCount val="4"/>
                <c:pt idx="0">
                  <c:v>0.01</c:v>
                </c:pt>
                <c:pt idx="1">
                  <c:v>0.01</c:v>
                </c:pt>
                <c:pt idx="2">
                  <c:v>1E-3</c:v>
                </c:pt>
                <c:pt idx="3">
                  <c:v>1.0700000000000001E-2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29-46DF-8DAD-BA263496A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98400"/>
        <c:axId val="43925888"/>
      </c:lineChart>
      <c:catAx>
        <c:axId val="4299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25888"/>
        <c:crossesAt val="1E-4"/>
        <c:auto val="1"/>
        <c:lblAlgn val="ctr"/>
        <c:lblOffset val="100"/>
        <c:tickLblSkip val="1"/>
        <c:tickMarkSkip val="1"/>
        <c:noMultiLvlLbl val="0"/>
      </c:catAx>
      <c:valAx>
        <c:axId val="43925888"/>
        <c:scaling>
          <c:logBase val="10"/>
          <c:orientation val="minMax"/>
          <c:max val="1000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984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893491124260356"/>
          <c:y val="8.2802547770700632E-2"/>
          <c:w val="0.70710059171597628"/>
          <c:h val="0.563694267515923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CALCULATIONS!$B$7</c:f>
              <c:strCache>
                <c:ptCount val="1"/>
                <c:pt idx="0">
                  <c:v>aw (/m)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CALCULATIONS!$B$8:$B$258</c:f>
              <c:numCache>
                <c:formatCode>0.0000</c:formatCode>
                <c:ptCount val="251"/>
                <c:pt idx="0">
                  <c:v>5.7999999999999996E-3</c:v>
                </c:pt>
                <c:pt idx="1">
                  <c:v>5.8999999999999999E-3</c:v>
                </c:pt>
                <c:pt idx="2">
                  <c:v>6.0999999999999995E-3</c:v>
                </c:pt>
                <c:pt idx="3">
                  <c:v>6.3E-3</c:v>
                </c:pt>
                <c:pt idx="4">
                  <c:v>6.4999999999999997E-3</c:v>
                </c:pt>
                <c:pt idx="5">
                  <c:v>6.7000000000000002E-3</c:v>
                </c:pt>
                <c:pt idx="6">
                  <c:v>6.8999999999999999E-3</c:v>
                </c:pt>
                <c:pt idx="7">
                  <c:v>7.1999999999999998E-3</c:v>
                </c:pt>
                <c:pt idx="8">
                  <c:v>7.3999999999999995E-3</c:v>
                </c:pt>
                <c:pt idx="9">
                  <c:v>7.6000000000000009E-3</c:v>
                </c:pt>
                <c:pt idx="10">
                  <c:v>7.899999999999999E-3</c:v>
                </c:pt>
                <c:pt idx="11">
                  <c:v>8.2000000000000007E-3</c:v>
                </c:pt>
                <c:pt idx="12">
                  <c:v>8.3999999999999995E-3</c:v>
                </c:pt>
                <c:pt idx="13">
                  <c:v>8.6999999999999994E-3</c:v>
                </c:pt>
                <c:pt idx="14">
                  <c:v>8.8999999999999999E-3</c:v>
                </c:pt>
                <c:pt idx="15">
                  <c:v>9.1999999999999998E-3</c:v>
                </c:pt>
                <c:pt idx="16">
                  <c:v>9.3999999999999986E-3</c:v>
                </c:pt>
                <c:pt idx="17">
                  <c:v>9.7000000000000003E-3</c:v>
                </c:pt>
                <c:pt idx="18">
                  <c:v>9.8999999999999991E-3</c:v>
                </c:pt>
                <c:pt idx="19">
                  <c:v>1.0200000000000001E-2</c:v>
                </c:pt>
                <c:pt idx="20">
                  <c:v>1.04E-2</c:v>
                </c:pt>
                <c:pt idx="21">
                  <c:v>1.06E-2</c:v>
                </c:pt>
                <c:pt idx="22">
                  <c:v>1.0799999999999999E-2</c:v>
                </c:pt>
                <c:pt idx="23">
                  <c:v>1.1000000000000001E-2</c:v>
                </c:pt>
                <c:pt idx="24">
                  <c:v>1.12E-2</c:v>
                </c:pt>
                <c:pt idx="25">
                  <c:v>1.14E-2</c:v>
                </c:pt>
                <c:pt idx="26">
                  <c:v>1.1599999999999999E-2</c:v>
                </c:pt>
                <c:pt idx="27">
                  <c:v>1.18E-2</c:v>
                </c:pt>
                <c:pt idx="28">
                  <c:v>1.2E-2</c:v>
                </c:pt>
                <c:pt idx="29">
                  <c:v>1.2199999999999999E-2</c:v>
                </c:pt>
                <c:pt idx="30">
                  <c:v>1.2400000000000001E-2</c:v>
                </c:pt>
                <c:pt idx="31">
                  <c:v>1.26E-2</c:v>
                </c:pt>
                <c:pt idx="32">
                  <c:v>1.2799999999999999E-2</c:v>
                </c:pt>
                <c:pt idx="33">
                  <c:v>1.2999999999999999E-2</c:v>
                </c:pt>
                <c:pt idx="34">
                  <c:v>1.3300000000000001E-2</c:v>
                </c:pt>
                <c:pt idx="35">
                  <c:v>1.35E-2</c:v>
                </c:pt>
                <c:pt idx="36">
                  <c:v>1.38E-2</c:v>
                </c:pt>
                <c:pt idx="37">
                  <c:v>1.4100000000000001E-2</c:v>
                </c:pt>
                <c:pt idx="38">
                  <c:v>1.44E-2</c:v>
                </c:pt>
                <c:pt idx="39">
                  <c:v>1.4799999999999999E-2</c:v>
                </c:pt>
                <c:pt idx="40">
                  <c:v>1.5200000000000002E-2</c:v>
                </c:pt>
                <c:pt idx="41">
                  <c:v>1.5699999999999999E-2</c:v>
                </c:pt>
                <c:pt idx="42">
                  <c:v>1.6199999999999999E-2</c:v>
                </c:pt>
                <c:pt idx="43">
                  <c:v>1.67E-2</c:v>
                </c:pt>
                <c:pt idx="44">
                  <c:v>1.7399999999999999E-2</c:v>
                </c:pt>
                <c:pt idx="45">
                  <c:v>1.8100000000000002E-2</c:v>
                </c:pt>
                <c:pt idx="46">
                  <c:v>1.89E-2</c:v>
                </c:pt>
                <c:pt idx="47">
                  <c:v>1.9799999999999998E-2</c:v>
                </c:pt>
                <c:pt idx="48">
                  <c:v>2.0900000000000002E-2</c:v>
                </c:pt>
                <c:pt idx="49">
                  <c:v>2.23E-2</c:v>
                </c:pt>
                <c:pt idx="50">
                  <c:v>2.3800000000000002E-2</c:v>
                </c:pt>
                <c:pt idx="51">
                  <c:v>2.5500000000000002E-2</c:v>
                </c:pt>
                <c:pt idx="52">
                  <c:v>2.7300000000000001E-2</c:v>
                </c:pt>
                <c:pt idx="53">
                  <c:v>2.9100000000000001E-2</c:v>
                </c:pt>
                <c:pt idx="54">
                  <c:v>3.1E-2</c:v>
                </c:pt>
                <c:pt idx="55">
                  <c:v>3.2899999999999999E-2</c:v>
                </c:pt>
                <c:pt idx="56">
                  <c:v>3.49E-2</c:v>
                </c:pt>
                <c:pt idx="57">
                  <c:v>3.6799999999999999E-2</c:v>
                </c:pt>
                <c:pt idx="58">
                  <c:v>3.8600000000000002E-2</c:v>
                </c:pt>
                <c:pt idx="59">
                  <c:v>4.0399999999999998E-2</c:v>
                </c:pt>
                <c:pt idx="60">
                  <c:v>4.0899999999999999E-2</c:v>
                </c:pt>
                <c:pt idx="61">
                  <c:v>4.1599999999999998E-2</c:v>
                </c:pt>
                <c:pt idx="62">
                  <c:v>4.0899999999999999E-2</c:v>
                </c:pt>
                <c:pt idx="63">
                  <c:v>4.2700000000000002E-2</c:v>
                </c:pt>
                <c:pt idx="64">
                  <c:v>4.2299999999999997E-2</c:v>
                </c:pt>
                <c:pt idx="65">
                  <c:v>4.2900000000000001E-2</c:v>
                </c:pt>
                <c:pt idx="66">
                  <c:v>4.4499999999999998E-2</c:v>
                </c:pt>
                <c:pt idx="67">
                  <c:v>4.5600000000000002E-2</c:v>
                </c:pt>
                <c:pt idx="68">
                  <c:v>4.7E-2</c:v>
                </c:pt>
                <c:pt idx="69">
                  <c:v>4.8000000000000001E-2</c:v>
                </c:pt>
                <c:pt idx="70">
                  <c:v>4.9500000000000002E-2</c:v>
                </c:pt>
                <c:pt idx="71">
                  <c:v>5.0299999999999997E-2</c:v>
                </c:pt>
                <c:pt idx="72">
                  <c:v>5.2700000000000004E-2</c:v>
                </c:pt>
                <c:pt idx="73">
                  <c:v>5.4399999999999997E-2</c:v>
                </c:pt>
                <c:pt idx="74">
                  <c:v>5.6400000000000006E-2</c:v>
                </c:pt>
                <c:pt idx="75">
                  <c:v>5.8799999999999998E-2</c:v>
                </c:pt>
                <c:pt idx="76">
                  <c:v>6.1100000000000002E-2</c:v>
                </c:pt>
                <c:pt idx="77">
                  <c:v>6.3100000000000003E-2</c:v>
                </c:pt>
                <c:pt idx="78">
                  <c:v>6.4600000000000005E-2</c:v>
                </c:pt>
                <c:pt idx="79">
                  <c:v>6.5799999999999997E-2</c:v>
                </c:pt>
                <c:pt idx="80">
                  <c:v>6.7199999999999996E-2</c:v>
                </c:pt>
                <c:pt idx="81">
                  <c:v>6.8599999999999994E-2</c:v>
                </c:pt>
                <c:pt idx="82">
                  <c:v>6.989999999999999E-2</c:v>
                </c:pt>
                <c:pt idx="83">
                  <c:v>7.1800000000000003E-2</c:v>
                </c:pt>
                <c:pt idx="84">
                  <c:v>7.3399999999999993E-2</c:v>
                </c:pt>
                <c:pt idx="85">
                  <c:v>7.5899999999999995E-2</c:v>
                </c:pt>
                <c:pt idx="86">
                  <c:v>7.8700000000000006E-2</c:v>
                </c:pt>
                <c:pt idx="87">
                  <c:v>8.1900000000000001E-2</c:v>
                </c:pt>
                <c:pt idx="88">
                  <c:v>8.5800000000000001E-2</c:v>
                </c:pt>
                <c:pt idx="89">
                  <c:v>8.9599999999999999E-2</c:v>
                </c:pt>
                <c:pt idx="90">
                  <c:v>9.5200000000000007E-2</c:v>
                </c:pt>
                <c:pt idx="91">
                  <c:v>0.1</c:v>
                </c:pt>
                <c:pt idx="92">
                  <c:v>0.10790000000000001</c:v>
                </c:pt>
                <c:pt idx="93">
                  <c:v>0.1159</c:v>
                </c:pt>
                <c:pt idx="94">
                  <c:v>0.12529999999999999</c:v>
                </c:pt>
                <c:pt idx="95">
                  <c:v>0.1356</c:v>
                </c:pt>
                <c:pt idx="96">
                  <c:v>0.1459</c:v>
                </c:pt>
                <c:pt idx="97">
                  <c:v>0.15670000000000001</c:v>
                </c:pt>
                <c:pt idx="98">
                  <c:v>0.17</c:v>
                </c:pt>
                <c:pt idx="99">
                  <c:v>0.186</c:v>
                </c:pt>
                <c:pt idx="100">
                  <c:v>0.22239999999999999</c:v>
                </c:pt>
                <c:pt idx="101">
                  <c:v>0.2366</c:v>
                </c:pt>
                <c:pt idx="102">
                  <c:v>0.24480000000000002</c:v>
                </c:pt>
                <c:pt idx="103">
                  <c:v>0.25869999999999999</c:v>
                </c:pt>
                <c:pt idx="104">
                  <c:v>0.26529999999999998</c:v>
                </c:pt>
                <c:pt idx="105">
                  <c:v>0.26910000000000001</c:v>
                </c:pt>
                <c:pt idx="106">
                  <c:v>0.27150000000000002</c:v>
                </c:pt>
                <c:pt idx="107">
                  <c:v>0.27399999999999997</c:v>
                </c:pt>
                <c:pt idx="108">
                  <c:v>0.27639999999999998</c:v>
                </c:pt>
                <c:pt idx="109">
                  <c:v>0.27850000000000003</c:v>
                </c:pt>
                <c:pt idx="110">
                  <c:v>0.28100000000000003</c:v>
                </c:pt>
                <c:pt idx="111">
                  <c:v>0.28389999999999999</c:v>
                </c:pt>
                <c:pt idx="112">
                  <c:v>0.2868</c:v>
                </c:pt>
                <c:pt idx="113">
                  <c:v>0.2893</c:v>
                </c:pt>
                <c:pt idx="114">
                  <c:v>0.29220000000000002</c:v>
                </c:pt>
                <c:pt idx="115">
                  <c:v>0.29550000000000004</c:v>
                </c:pt>
                <c:pt idx="116">
                  <c:v>0.29880000000000001</c:v>
                </c:pt>
                <c:pt idx="117">
                  <c:v>0.30109999999999998</c:v>
                </c:pt>
                <c:pt idx="118">
                  <c:v>0.30380000000000001</c:v>
                </c:pt>
                <c:pt idx="119">
                  <c:v>0.30760000000000004</c:v>
                </c:pt>
                <c:pt idx="120">
                  <c:v>0.31109999999999999</c:v>
                </c:pt>
                <c:pt idx="121">
                  <c:v>0.31440000000000001</c:v>
                </c:pt>
                <c:pt idx="122">
                  <c:v>0.31809999999999999</c:v>
                </c:pt>
                <c:pt idx="123">
                  <c:v>0.32230000000000003</c:v>
                </c:pt>
                <c:pt idx="124">
                  <c:v>0.32629999999999998</c:v>
                </c:pt>
                <c:pt idx="125">
                  <c:v>0.33149999999999996</c:v>
                </c:pt>
                <c:pt idx="126">
                  <c:v>0.3362</c:v>
                </c:pt>
                <c:pt idx="127">
                  <c:v>0.34229999999999999</c:v>
                </c:pt>
                <c:pt idx="128">
                  <c:v>0.3508</c:v>
                </c:pt>
                <c:pt idx="129">
                  <c:v>0.36359999999999998</c:v>
                </c:pt>
                <c:pt idx="130">
                  <c:v>0.37909999999999999</c:v>
                </c:pt>
                <c:pt idx="131">
                  <c:v>0.39309999999999995</c:v>
                </c:pt>
                <c:pt idx="132">
                  <c:v>0.40189999999999998</c:v>
                </c:pt>
                <c:pt idx="133">
                  <c:v>0.40720000000000001</c:v>
                </c:pt>
                <c:pt idx="134">
                  <c:v>0.4098</c:v>
                </c:pt>
                <c:pt idx="135">
                  <c:v>0.41219999999999996</c:v>
                </c:pt>
                <c:pt idx="136">
                  <c:v>0.41499999999999998</c:v>
                </c:pt>
                <c:pt idx="137">
                  <c:v>0.41729999999999995</c:v>
                </c:pt>
                <c:pt idx="138">
                  <c:v>0.42230000000000001</c:v>
                </c:pt>
                <c:pt idx="139">
                  <c:v>0.42700000000000005</c:v>
                </c:pt>
                <c:pt idx="140">
                  <c:v>0.43179999999999996</c:v>
                </c:pt>
                <c:pt idx="141">
                  <c:v>0.43810000000000004</c:v>
                </c:pt>
                <c:pt idx="142">
                  <c:v>0.44580000000000003</c:v>
                </c:pt>
                <c:pt idx="143">
                  <c:v>0.45450000000000002</c:v>
                </c:pt>
                <c:pt idx="144">
                  <c:v>0.46460000000000001</c:v>
                </c:pt>
                <c:pt idx="145">
                  <c:v>0.47600000000000003</c:v>
                </c:pt>
                <c:pt idx="146">
                  <c:v>0.49030000000000001</c:v>
                </c:pt>
                <c:pt idx="147">
                  <c:v>0.5071</c:v>
                </c:pt>
                <c:pt idx="148">
                  <c:v>0.52440000000000009</c:v>
                </c:pt>
                <c:pt idx="149">
                  <c:v>0.54700000000000004</c:v>
                </c:pt>
                <c:pt idx="150">
                  <c:v>0.57219999999999993</c:v>
                </c:pt>
                <c:pt idx="151">
                  <c:v>0.59950000000000003</c:v>
                </c:pt>
                <c:pt idx="152">
                  <c:v>0.63029999999999997</c:v>
                </c:pt>
                <c:pt idx="153">
                  <c:v>0.66280000000000006</c:v>
                </c:pt>
                <c:pt idx="154">
                  <c:v>0.69930000000000003</c:v>
                </c:pt>
                <c:pt idx="155">
                  <c:v>0.74149999999999994</c:v>
                </c:pt>
                <c:pt idx="156">
                  <c:v>0.78930000000000011</c:v>
                </c:pt>
                <c:pt idx="157">
                  <c:v>0.84449999999999992</c:v>
                </c:pt>
                <c:pt idx="158">
                  <c:v>0.91090000000000004</c:v>
                </c:pt>
                <c:pt idx="159">
                  <c:v>0.98709999999999998</c:v>
                </c:pt>
                <c:pt idx="160">
                  <c:v>1.0724</c:v>
                </c:pt>
                <c:pt idx="161">
                  <c:v>1.1678999999999999</c:v>
                </c:pt>
                <c:pt idx="162">
                  <c:v>1.2684000000000002</c:v>
                </c:pt>
                <c:pt idx="163">
                  <c:v>1.3719000000000001</c:v>
                </c:pt>
                <c:pt idx="164">
                  <c:v>1.4869999999999999</c:v>
                </c:pt>
                <c:pt idx="165">
                  <c:v>1.6211</c:v>
                </c:pt>
                <c:pt idx="166">
                  <c:v>1.7871999999999999</c:v>
                </c:pt>
                <c:pt idx="167">
                  <c:v>1.9917</c:v>
                </c:pt>
                <c:pt idx="168">
                  <c:v>2.2073999999999998</c:v>
                </c:pt>
                <c:pt idx="169">
                  <c:v>2.3942000000000001</c:v>
                </c:pt>
                <c:pt idx="170">
                  <c:v>2.5319000000000003</c:v>
                </c:pt>
                <c:pt idx="171">
                  <c:v>2.6231</c:v>
                </c:pt>
                <c:pt idx="172">
                  <c:v>2.6722999999999999</c:v>
                </c:pt>
                <c:pt idx="173">
                  <c:v>2.7021000000000002</c:v>
                </c:pt>
                <c:pt idx="174">
                  <c:v>2.7216</c:v>
                </c:pt>
                <c:pt idx="175">
                  <c:v>2.7334000000000001</c:v>
                </c:pt>
                <c:pt idx="176">
                  <c:v>2.7412999999999998</c:v>
                </c:pt>
                <c:pt idx="177">
                  <c:v>2.7477999999999998</c:v>
                </c:pt>
                <c:pt idx="178">
                  <c:v>2.7542</c:v>
                </c:pt>
                <c:pt idx="179">
                  <c:v>2.7627999999999999</c:v>
                </c:pt>
                <c:pt idx="180">
                  <c:v>2.7709999999999999</c:v>
                </c:pt>
                <c:pt idx="181">
                  <c:v>2.7732999999999999</c:v>
                </c:pt>
                <c:pt idx="182">
                  <c:v>2.7742</c:v>
                </c:pt>
                <c:pt idx="183">
                  <c:v>2.7700999999999998</c:v>
                </c:pt>
                <c:pt idx="184">
                  <c:v>2.7610000000000001</c:v>
                </c:pt>
                <c:pt idx="185">
                  <c:v>2.7542</c:v>
                </c:pt>
                <c:pt idx="186">
                  <c:v>2.7481999999999998</c:v>
                </c:pt>
                <c:pt idx="187">
                  <c:v>2.7305000000000001</c:v>
                </c:pt>
                <c:pt idx="188">
                  <c:v>2.7096999999999998</c:v>
                </c:pt>
                <c:pt idx="189">
                  <c:v>2.6896</c:v>
                </c:pt>
                <c:pt idx="190">
                  <c:v>2.6589999999999998</c:v>
                </c:pt>
                <c:pt idx="191">
                  <c:v>2.6332</c:v>
                </c:pt>
                <c:pt idx="192">
                  <c:v>2.6061999999999999</c:v>
                </c:pt>
                <c:pt idx="193">
                  <c:v>2.5701999999999998</c:v>
                </c:pt>
                <c:pt idx="194">
                  <c:v>2.5335000000000001</c:v>
                </c:pt>
                <c:pt idx="195">
                  <c:v>2.4923999999999999</c:v>
                </c:pt>
                <c:pt idx="196">
                  <c:v>2.4480999999999997</c:v>
                </c:pt>
                <c:pt idx="197">
                  <c:v>2.4083000000000001</c:v>
                </c:pt>
                <c:pt idx="198">
                  <c:v>2.3742000000000001</c:v>
                </c:pt>
                <c:pt idx="199">
                  <c:v>2.3331999999999997</c:v>
                </c:pt>
                <c:pt idx="200">
                  <c:v>2.2932000000000001</c:v>
                </c:pt>
                <c:pt idx="201">
                  <c:v>2.2281599999999999</c:v>
                </c:pt>
                <c:pt idx="202">
                  <c:v>2.2101199999999999</c:v>
                </c:pt>
                <c:pt idx="203">
                  <c:v>2.1983800000000002</c:v>
                </c:pt>
                <c:pt idx="204">
                  <c:v>2.1929400000000001</c:v>
                </c:pt>
                <c:pt idx="205">
                  <c:v>2.1875</c:v>
                </c:pt>
                <c:pt idx="206">
                  <c:v>2.2016999999999998</c:v>
                </c:pt>
                <c:pt idx="207">
                  <c:v>2.2159</c:v>
                </c:pt>
                <c:pt idx="208">
                  <c:v>2.2442799999999998</c:v>
                </c:pt>
                <c:pt idx="209">
                  <c:v>2.2868399999999998</c:v>
                </c:pt>
                <c:pt idx="210">
                  <c:v>2.3294000000000001</c:v>
                </c:pt>
                <c:pt idx="211">
                  <c:v>2.4455999999999998</c:v>
                </c:pt>
                <c:pt idx="212">
                  <c:v>2.5617999999999999</c:v>
                </c:pt>
                <c:pt idx="213">
                  <c:v>2.7174200000000002</c:v>
                </c:pt>
                <c:pt idx="214">
                  <c:v>2.9124599999999998</c:v>
                </c:pt>
                <c:pt idx="215">
                  <c:v>3.1074999999999999</c:v>
                </c:pt>
                <c:pt idx="216">
                  <c:v>3.3453799999999996</c:v>
                </c:pt>
                <c:pt idx="217">
                  <c:v>3.5832599999999997</c:v>
                </c:pt>
                <c:pt idx="218">
                  <c:v>3.7516400000000001</c:v>
                </c:pt>
                <c:pt idx="219">
                  <c:v>3.8505199999999999</c:v>
                </c:pt>
                <c:pt idx="220">
                  <c:v>3.9493999999999998</c:v>
                </c:pt>
                <c:pt idx="221">
                  <c:v>3.9995599999999998</c:v>
                </c:pt>
                <c:pt idx="222">
                  <c:v>4.0497199999999998</c:v>
                </c:pt>
                <c:pt idx="223">
                  <c:v>4.0995600000000003</c:v>
                </c:pt>
                <c:pt idx="224">
                  <c:v>4.1490799999999997</c:v>
                </c:pt>
                <c:pt idx="225">
                  <c:v>4.1985999999999999</c:v>
                </c:pt>
                <c:pt idx="226">
                  <c:v>4.2417199999999999</c:v>
                </c:pt>
                <c:pt idx="227">
                  <c:v>4.28484</c:v>
                </c:pt>
                <c:pt idx="228">
                  <c:v>4.3316400000000002</c:v>
                </c:pt>
                <c:pt idx="229">
                  <c:v>4.3821200000000005</c:v>
                </c:pt>
                <c:pt idx="230">
                  <c:v>4.4325999999999999</c:v>
                </c:pt>
                <c:pt idx="231">
                  <c:v>4.5016400000000001</c:v>
                </c:pt>
                <c:pt idx="232">
                  <c:v>4.5706800000000003</c:v>
                </c:pt>
                <c:pt idx="233">
                  <c:v>4.6345800000000006</c:v>
                </c:pt>
                <c:pt idx="234">
                  <c:v>4.693340000000001</c:v>
                </c:pt>
                <c:pt idx="235">
                  <c:v>4.7521000000000004</c:v>
                </c:pt>
                <c:pt idx="236">
                  <c:v>4.8354200000000009</c:v>
                </c:pt>
                <c:pt idx="237">
                  <c:v>4.9187399999999997</c:v>
                </c:pt>
                <c:pt idx="238">
                  <c:v>5.0279000000000007</c:v>
                </c:pt>
                <c:pt idx="239">
                  <c:v>5.1629000000000005</c:v>
                </c:pt>
                <c:pt idx="240">
                  <c:v>5.2979000000000003</c:v>
                </c:pt>
                <c:pt idx="241">
                  <c:v>5.4051799999999997</c:v>
                </c:pt>
                <c:pt idx="242">
                  <c:v>5.512459999999999</c:v>
                </c:pt>
                <c:pt idx="243">
                  <c:v>5.6191599999999999</c:v>
                </c:pt>
                <c:pt idx="244">
                  <c:v>5.7252799999999997</c:v>
                </c:pt>
                <c:pt idx="245">
                  <c:v>5.8314000000000004</c:v>
                </c:pt>
                <c:pt idx="246">
                  <c:v>5.93628</c:v>
                </c:pt>
                <c:pt idx="247">
                  <c:v>6.0411600000000005</c:v>
                </c:pt>
                <c:pt idx="248">
                  <c:v>6.1469000000000014</c:v>
                </c:pt>
                <c:pt idx="249">
                  <c:v>6.2535000000000007</c:v>
                </c:pt>
                <c:pt idx="250">
                  <c:v>6.3601000000000001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2-4D30-AB2A-D2B7D0CB20F6}"/>
            </c:ext>
          </c:extLst>
        </c:ser>
        <c:ser>
          <c:idx val="1"/>
          <c:order val="1"/>
          <c:tx>
            <c:strRef>
              <c:f>CALCULATIONS!$C$7</c:f>
              <c:strCache>
                <c:ptCount val="1"/>
                <c:pt idx="0">
                  <c:v>aph (/m)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CALCULATIONS!$C$8:$C$258</c:f>
              <c:numCache>
                <c:formatCode>0.0000</c:formatCode>
                <c:ptCount val="251"/>
                <c:pt idx="0">
                  <c:v>9.6373082132380117E-4</c:v>
                </c:pt>
                <c:pt idx="1">
                  <c:v>9.8848319616839713E-4</c:v>
                </c:pt>
                <c:pt idx="2">
                  <c:v>1.0260252090139328E-3</c:v>
                </c:pt>
                <c:pt idx="3">
                  <c:v>1.0577864460842629E-3</c:v>
                </c:pt>
                <c:pt idx="4">
                  <c:v>1.1029770996899776E-3</c:v>
                </c:pt>
                <c:pt idx="5">
                  <c:v>1.1522436875011234E-3</c:v>
                </c:pt>
                <c:pt idx="6">
                  <c:v>1.2055980096801774E-3</c:v>
                </c:pt>
                <c:pt idx="7">
                  <c:v>1.2718744218973553E-3</c:v>
                </c:pt>
                <c:pt idx="8">
                  <c:v>1.3183359832169394E-3</c:v>
                </c:pt>
                <c:pt idx="9">
                  <c:v>1.3640347263154827E-3</c:v>
                </c:pt>
                <c:pt idx="10">
                  <c:v>1.4107498019493641E-3</c:v>
                </c:pt>
                <c:pt idx="11">
                  <c:v>1.4692457684307388E-3</c:v>
                </c:pt>
                <c:pt idx="12">
                  <c:v>1.5300603836414829E-3</c:v>
                </c:pt>
                <c:pt idx="13">
                  <c:v>1.5813440402665515E-3</c:v>
                </c:pt>
                <c:pt idx="14">
                  <c:v>1.6187800554488319E-3</c:v>
                </c:pt>
                <c:pt idx="15">
                  <c:v>1.6390315168327673E-3</c:v>
                </c:pt>
                <c:pt idx="16">
                  <c:v>1.6911290793468843E-3</c:v>
                </c:pt>
                <c:pt idx="17">
                  <c:v>1.7562935065029794E-3</c:v>
                </c:pt>
                <c:pt idx="18">
                  <c:v>1.8070613438154468E-3</c:v>
                </c:pt>
                <c:pt idx="19">
                  <c:v>1.8498834739871209E-3</c:v>
                </c:pt>
                <c:pt idx="20">
                  <c:v>1.8591098254783288E-3</c:v>
                </c:pt>
                <c:pt idx="21">
                  <c:v>1.8961953274855546E-3</c:v>
                </c:pt>
                <c:pt idx="22">
                  <c:v>1.9367100536563104E-3</c:v>
                </c:pt>
                <c:pt idx="23">
                  <c:v>1.9642591006869266E-3</c:v>
                </c:pt>
                <c:pt idx="24">
                  <c:v>1.9680279759366468E-3</c:v>
                </c:pt>
                <c:pt idx="25">
                  <c:v>1.9380898611867339E-3</c:v>
                </c:pt>
                <c:pt idx="26">
                  <c:v>1.9332715702045505E-3</c:v>
                </c:pt>
                <c:pt idx="27">
                  <c:v>1.9314480286041563E-3</c:v>
                </c:pt>
                <c:pt idx="28">
                  <c:v>1.9186831520217479E-3</c:v>
                </c:pt>
                <c:pt idx="29">
                  <c:v>1.9112043114768982E-3</c:v>
                </c:pt>
                <c:pt idx="30">
                  <c:v>1.8796112872958843E-3</c:v>
                </c:pt>
                <c:pt idx="31">
                  <c:v>1.8721018601274926E-3</c:v>
                </c:pt>
                <c:pt idx="32">
                  <c:v>1.8676440992495043E-3</c:v>
                </c:pt>
                <c:pt idx="33">
                  <c:v>1.8543841142105633E-3</c:v>
                </c:pt>
                <c:pt idx="34">
                  <c:v>1.8325034756948044E-3</c:v>
                </c:pt>
                <c:pt idx="35">
                  <c:v>1.8077488074368382E-3</c:v>
                </c:pt>
                <c:pt idx="36">
                  <c:v>1.7942516776624613E-3</c:v>
                </c:pt>
                <c:pt idx="37">
                  <c:v>1.7882454141053101E-3</c:v>
                </c:pt>
                <c:pt idx="38">
                  <c:v>1.7789125295159323E-3</c:v>
                </c:pt>
                <c:pt idx="39">
                  <c:v>1.7527558548166369E-3</c:v>
                </c:pt>
                <c:pt idx="40">
                  <c:v>1.7083092622797265E-3</c:v>
                </c:pt>
                <c:pt idx="41">
                  <c:v>1.6799320320092992E-3</c:v>
                </c:pt>
                <c:pt idx="42">
                  <c:v>1.6383172269556769E-3</c:v>
                </c:pt>
                <c:pt idx="43">
                  <c:v>1.5879793844559998E-3</c:v>
                </c:pt>
                <c:pt idx="44">
                  <c:v>1.5261745364741803E-3</c:v>
                </c:pt>
                <c:pt idx="45">
                  <c:v>1.4446098202985341E-3</c:v>
                </c:pt>
                <c:pt idx="46">
                  <c:v>1.3756604810332895E-3</c:v>
                </c:pt>
                <c:pt idx="47">
                  <c:v>1.2871219776468313E-3</c:v>
                </c:pt>
                <c:pt idx="48">
                  <c:v>1.1972899776398242E-3</c:v>
                </c:pt>
                <c:pt idx="49">
                  <c:v>1.1071621789449104E-3</c:v>
                </c:pt>
                <c:pt idx="50">
                  <c:v>1.0086206048824668E-3</c:v>
                </c:pt>
                <c:pt idx="51">
                  <c:v>9.2134584325942015E-4</c:v>
                </c:pt>
                <c:pt idx="52">
                  <c:v>8.3204398645680912E-4</c:v>
                </c:pt>
                <c:pt idx="53">
                  <c:v>7.4964055997797847E-4</c:v>
                </c:pt>
                <c:pt idx="54">
                  <c:v>6.7059730565145758E-4</c:v>
                </c:pt>
                <c:pt idx="55">
                  <c:v>5.9603601866866393E-4</c:v>
                </c:pt>
                <c:pt idx="56">
                  <c:v>5.3826496171132494E-4</c:v>
                </c:pt>
                <c:pt idx="57">
                  <c:v>4.8549817799695778E-4</c:v>
                </c:pt>
                <c:pt idx="58">
                  <c:v>4.376476475204672E-4</c:v>
                </c:pt>
                <c:pt idx="59">
                  <c:v>3.9371890484096999E-4</c:v>
                </c:pt>
                <c:pt idx="60">
                  <c:v>3.5264362522451049E-4</c:v>
                </c:pt>
                <c:pt idx="61">
                  <c:v>3.1968375453249738E-4</c:v>
                </c:pt>
                <c:pt idx="62">
                  <c:v>2.9058373099382864E-4</c:v>
                </c:pt>
                <c:pt idx="63">
                  <c:v>2.6568714689159445E-4</c:v>
                </c:pt>
                <c:pt idx="64">
                  <c:v>2.4254111531118449E-4</c:v>
                </c:pt>
                <c:pt idx="65">
                  <c:v>2.2191459278170415E-4</c:v>
                </c:pt>
                <c:pt idx="66">
                  <c:v>2.0468143046601506E-4</c:v>
                </c:pt>
                <c:pt idx="67">
                  <c:v>1.8682016679523098E-4</c:v>
                </c:pt>
                <c:pt idx="68">
                  <c:v>1.7180402701581754E-4</c:v>
                </c:pt>
                <c:pt idx="69">
                  <c:v>1.5848931924611134E-4</c:v>
                </c:pt>
                <c:pt idx="70">
                  <c:v>1.4681544109831221E-4</c:v>
                </c:pt>
                <c:pt idx="71">
                  <c:v>1.3504638043566005E-4</c:v>
                </c:pt>
                <c:pt idx="72">
                  <c:v>1.259628590315356E-4</c:v>
                </c:pt>
                <c:pt idx="73">
                  <c:v>1.1654628946218909E-4</c:v>
                </c:pt>
                <c:pt idx="74">
                  <c:v>1.0891259161859385E-4</c:v>
                </c:pt>
                <c:pt idx="75">
                  <c:v>1.0164592841668334E-4</c:v>
                </c:pt>
                <c:pt idx="76">
                  <c:v>9.3070831144143691E-5</c:v>
                </c:pt>
                <c:pt idx="77">
                  <c:v>8.4983085766924537E-5</c:v>
                </c:pt>
                <c:pt idx="78">
                  <c:v>7.7003224700017878E-5</c:v>
                </c:pt>
                <c:pt idx="79">
                  <c:v>6.9970238885939265E-5</c:v>
                </c:pt>
                <c:pt idx="80">
                  <c:v>6.6740843245049756E-5</c:v>
                </c:pt>
                <c:pt idx="81">
                  <c:v>6.2640037874724756E-5</c:v>
                </c:pt>
                <c:pt idx="82">
                  <c:v>5.9686327238901264E-5</c:v>
                </c:pt>
                <c:pt idx="83">
                  <c:v>5.6801877316876848E-5</c:v>
                </c:pt>
                <c:pt idx="84">
                  <c:v>5.5769115911115464E-5</c:v>
                </c:pt>
                <c:pt idx="85">
                  <c:v>5.4234528590879966E-5</c:v>
                </c:pt>
                <c:pt idx="86">
                  <c:v>5.5753979312630805E-5</c:v>
                </c:pt>
                <c:pt idx="87">
                  <c:v>5.6494132428087408E-5</c:v>
                </c:pt>
                <c:pt idx="88">
                  <c:v>5.7544436766838642E-5</c:v>
                </c:pt>
                <c:pt idx="89">
                  <c:v>5.9156618862818407E-5</c:v>
                </c:pt>
                <c:pt idx="90">
                  <c:v>6.2269570411795065E-5</c:v>
                </c:pt>
                <c:pt idx="91">
                  <c:v>6.4922279469340301E-5</c:v>
                </c:pt>
                <c:pt idx="92">
                  <c:v>6.9240897648679191E-5</c:v>
                </c:pt>
                <c:pt idx="93">
                  <c:v>7.1180771279749221E-5</c:v>
                </c:pt>
                <c:pt idx="94">
                  <c:v>7.5541921425132619E-5</c:v>
                </c:pt>
                <c:pt idx="95">
                  <c:v>7.8376890064066622E-5</c:v>
                </c:pt>
                <c:pt idx="96">
                  <c:v>8.2770362202501318E-5</c:v>
                </c:pt>
                <c:pt idx="97">
                  <c:v>8.3982350788132913E-5</c:v>
                </c:pt>
                <c:pt idx="98">
                  <c:v>8.5938551036760481E-5</c:v>
                </c:pt>
                <c:pt idx="99">
                  <c:v>8.5184914040186465E-5</c:v>
                </c:pt>
                <c:pt idx="100">
                  <c:v>8.2488567144855927E-5</c:v>
                </c:pt>
                <c:pt idx="101">
                  <c:v>8.0982981117128178E-5</c:v>
                </c:pt>
                <c:pt idx="102">
                  <c:v>8.172646032578538E-5</c:v>
                </c:pt>
                <c:pt idx="103">
                  <c:v>8.0234784315144154E-5</c:v>
                </c:pt>
                <c:pt idx="104">
                  <c:v>7.9467221214589158E-5</c:v>
                </c:pt>
                <c:pt idx="105">
                  <c:v>7.9045082245697652E-5</c:v>
                </c:pt>
                <c:pt idx="106">
                  <c:v>8.1068476525738387E-5</c:v>
                </c:pt>
                <c:pt idx="107">
                  <c:v>8.1311364741062163E-5</c:v>
                </c:pt>
                <c:pt idx="108">
                  <c:v>8.28689220258794E-5</c:v>
                </c:pt>
                <c:pt idx="109">
                  <c:v>8.4594192551685422E-5</c:v>
                </c:pt>
                <c:pt idx="110">
                  <c:v>8.7279722473961152E-5</c:v>
                </c:pt>
                <c:pt idx="111">
                  <c:v>9.0270102489326042E-5</c:v>
                </c:pt>
                <c:pt idx="112">
                  <c:v>9.291264053441653E-5</c:v>
                </c:pt>
                <c:pt idx="113">
                  <c:v>9.5611231640834135E-5</c:v>
                </c:pt>
                <c:pt idx="114">
                  <c:v>9.791496899654736E-5</c:v>
                </c:pt>
                <c:pt idx="115">
                  <c:v>1.0168534084842158E-4</c:v>
                </c:pt>
                <c:pt idx="116">
                  <c:v>1.0551710326445271E-4</c:v>
                </c:pt>
                <c:pt idx="117">
                  <c:v>1.0895112518002121E-4</c:v>
                </c:pt>
                <c:pt idx="118">
                  <c:v>1.1247636266267802E-4</c:v>
                </c:pt>
                <c:pt idx="119">
                  <c:v>1.1663089069274636E-4</c:v>
                </c:pt>
                <c:pt idx="120">
                  <c:v>1.2091793593368355E-4</c:v>
                </c:pt>
                <c:pt idx="121">
                  <c:v>1.2650118759399652E-4</c:v>
                </c:pt>
                <c:pt idx="122">
                  <c:v>1.3293125082456696E-4</c:v>
                </c:pt>
                <c:pt idx="123">
                  <c:v>1.3838530873720812E-4</c:v>
                </c:pt>
                <c:pt idx="124">
                  <c:v>1.4272005975934197E-4</c:v>
                </c:pt>
                <c:pt idx="125">
                  <c:v>1.4691904354034594E-4</c:v>
                </c:pt>
                <c:pt idx="126">
                  <c:v>1.5115374985330844E-4</c:v>
                </c:pt>
                <c:pt idx="127">
                  <c:v>1.5753969729025049E-4</c:v>
                </c:pt>
                <c:pt idx="128">
                  <c:v>1.6661864767496731E-4</c:v>
                </c:pt>
                <c:pt idx="129">
                  <c:v>1.8073128618993506E-4</c:v>
                </c:pt>
                <c:pt idx="130">
                  <c:v>2.0076954758585793E-4</c:v>
                </c:pt>
                <c:pt idx="131">
                  <c:v>2.2939804389502107E-4</c:v>
                </c:pt>
                <c:pt idx="132">
                  <c:v>2.6324643112455491E-4</c:v>
                </c:pt>
                <c:pt idx="133">
                  <c:v>3.0257000750532622E-4</c:v>
                </c:pt>
                <c:pt idx="134">
                  <c:v>3.4002642379497866E-4</c:v>
                </c:pt>
                <c:pt idx="135">
                  <c:v>3.7537193938054318E-4</c:v>
                </c:pt>
                <c:pt idx="136">
                  <c:v>3.9853477819961947E-4</c:v>
                </c:pt>
                <c:pt idx="137">
                  <c:v>4.1418661256727006E-4</c:v>
                </c:pt>
                <c:pt idx="138">
                  <c:v>4.1593933742073923E-4</c:v>
                </c:pt>
                <c:pt idx="139">
                  <c:v>3.9953728031667107E-4</c:v>
                </c:pt>
                <c:pt idx="140">
                  <c:v>3.7159630592985434E-4</c:v>
                </c:pt>
                <c:pt idx="141">
                  <c:v>3.281769602585688E-4</c:v>
                </c:pt>
                <c:pt idx="142">
                  <c:v>2.737587456189626E-4</c:v>
                </c:pt>
                <c:pt idx="143">
                  <c:v>2.1949351083136017E-4</c:v>
                </c:pt>
                <c:pt idx="144">
                  <c:v>1.6695528518563649E-4</c:v>
                </c:pt>
                <c:pt idx="145">
                  <c:v>1.2333265830982159E-4</c:v>
                </c:pt>
                <c:pt idx="146">
                  <c:v>9.0380513133640815E-5</c:v>
                </c:pt>
                <c:pt idx="147">
                  <c:v>6.5522997925108773E-5</c:v>
                </c:pt>
                <c:pt idx="148">
                  <c:v>4.7146849430454684E-5</c:v>
                </c:pt>
                <c:pt idx="149">
                  <c:v>3.344278992407771E-5</c:v>
                </c:pt>
                <c:pt idx="150">
                  <c:v>2.5652001386540498E-5</c:v>
                </c:pt>
                <c:pt idx="151">
                  <c:v>2.5652001386540498E-5</c:v>
                </c:pt>
                <c:pt idx="152">
                  <c:v>2.5652001386540498E-5</c:v>
                </c:pt>
                <c:pt idx="153">
                  <c:v>2.5652001386540498E-5</c:v>
                </c:pt>
                <c:pt idx="154">
                  <c:v>2.5652001386540498E-5</c:v>
                </c:pt>
                <c:pt idx="155">
                  <c:v>2.5652001386540498E-5</c:v>
                </c:pt>
                <c:pt idx="156">
                  <c:v>2.5652001386540498E-5</c:v>
                </c:pt>
                <c:pt idx="157">
                  <c:v>2.5652001386540498E-5</c:v>
                </c:pt>
                <c:pt idx="158">
                  <c:v>2.5652001386540498E-5</c:v>
                </c:pt>
                <c:pt idx="159">
                  <c:v>2.5652001386540498E-5</c:v>
                </c:pt>
                <c:pt idx="160">
                  <c:v>2.5652001386540498E-5</c:v>
                </c:pt>
                <c:pt idx="161">
                  <c:v>2.5652001386540498E-5</c:v>
                </c:pt>
                <c:pt idx="162">
                  <c:v>2.5652001386540498E-5</c:v>
                </c:pt>
                <c:pt idx="163">
                  <c:v>2.5652001386540498E-5</c:v>
                </c:pt>
                <c:pt idx="164">
                  <c:v>2.5652001386540498E-5</c:v>
                </c:pt>
                <c:pt idx="165">
                  <c:v>2.5652001386540498E-5</c:v>
                </c:pt>
                <c:pt idx="166">
                  <c:v>2.5652001386540498E-5</c:v>
                </c:pt>
                <c:pt idx="167">
                  <c:v>2.5652001386540498E-5</c:v>
                </c:pt>
                <c:pt idx="168">
                  <c:v>2.5652001386540498E-5</c:v>
                </c:pt>
                <c:pt idx="169">
                  <c:v>2.5652001386540498E-5</c:v>
                </c:pt>
                <c:pt idx="170">
                  <c:v>2.5652001386540498E-5</c:v>
                </c:pt>
                <c:pt idx="171">
                  <c:v>2.5652001386540498E-5</c:v>
                </c:pt>
                <c:pt idx="172">
                  <c:v>2.5652001386540498E-5</c:v>
                </c:pt>
                <c:pt idx="173">
                  <c:v>2.5652001386540498E-5</c:v>
                </c:pt>
                <c:pt idx="174">
                  <c:v>2.5652001386540498E-5</c:v>
                </c:pt>
                <c:pt idx="175">
                  <c:v>2.5652001386540498E-5</c:v>
                </c:pt>
                <c:pt idx="176">
                  <c:v>2.5652001386540498E-5</c:v>
                </c:pt>
                <c:pt idx="177">
                  <c:v>2.5652001386540498E-5</c:v>
                </c:pt>
                <c:pt idx="178">
                  <c:v>2.5652001386540498E-5</c:v>
                </c:pt>
                <c:pt idx="179">
                  <c:v>2.5652001386540498E-5</c:v>
                </c:pt>
                <c:pt idx="180">
                  <c:v>2.5652001386540498E-5</c:v>
                </c:pt>
                <c:pt idx="181">
                  <c:v>2.5652001386540498E-5</c:v>
                </c:pt>
                <c:pt idx="182">
                  <c:v>2.5652001386540498E-5</c:v>
                </c:pt>
                <c:pt idx="183">
                  <c:v>2.5652001386540498E-5</c:v>
                </c:pt>
                <c:pt idx="184">
                  <c:v>2.5652001386540498E-5</c:v>
                </c:pt>
                <c:pt idx="185">
                  <c:v>2.5652001386540498E-5</c:v>
                </c:pt>
                <c:pt idx="186">
                  <c:v>2.5652001386540498E-5</c:v>
                </c:pt>
                <c:pt idx="187">
                  <c:v>2.5652001386540498E-5</c:v>
                </c:pt>
                <c:pt idx="188">
                  <c:v>2.5652001386540498E-5</c:v>
                </c:pt>
                <c:pt idx="189">
                  <c:v>2.5652001386540498E-5</c:v>
                </c:pt>
                <c:pt idx="190">
                  <c:v>2.5652001386540498E-5</c:v>
                </c:pt>
                <c:pt idx="191">
                  <c:v>2.5652001386540498E-5</c:v>
                </c:pt>
                <c:pt idx="192">
                  <c:v>2.5652001386540498E-5</c:v>
                </c:pt>
                <c:pt idx="193">
                  <c:v>2.5652001386540498E-5</c:v>
                </c:pt>
                <c:pt idx="194">
                  <c:v>2.5652001386540498E-5</c:v>
                </c:pt>
                <c:pt idx="195">
                  <c:v>2.5652001386540498E-5</c:v>
                </c:pt>
                <c:pt idx="196">
                  <c:v>2.5652001386540498E-5</c:v>
                </c:pt>
                <c:pt idx="197">
                  <c:v>2.5652001386540498E-5</c:v>
                </c:pt>
                <c:pt idx="198">
                  <c:v>2.5652001386540498E-5</c:v>
                </c:pt>
                <c:pt idx="199">
                  <c:v>2.5652001386540498E-5</c:v>
                </c:pt>
                <c:pt idx="200">
                  <c:v>2.5652001386540498E-5</c:v>
                </c:pt>
                <c:pt idx="201">
                  <c:v>2.5652001386540498E-5</c:v>
                </c:pt>
                <c:pt idx="202">
                  <c:v>2.5652001386540498E-5</c:v>
                </c:pt>
                <c:pt idx="203">
                  <c:v>2.5652001386540498E-5</c:v>
                </c:pt>
                <c:pt idx="204">
                  <c:v>2.5652001386540498E-5</c:v>
                </c:pt>
                <c:pt idx="205">
                  <c:v>2.5652001386540498E-5</c:v>
                </c:pt>
                <c:pt idx="206">
                  <c:v>2.5652001386540498E-5</c:v>
                </c:pt>
                <c:pt idx="207">
                  <c:v>2.5652001386540498E-5</c:v>
                </c:pt>
                <c:pt idx="208">
                  <c:v>2.5652001386540498E-5</c:v>
                </c:pt>
                <c:pt idx="209">
                  <c:v>2.5652001386540498E-5</c:v>
                </c:pt>
                <c:pt idx="210">
                  <c:v>2.5652001386540498E-5</c:v>
                </c:pt>
                <c:pt idx="211">
                  <c:v>2.5652001386540498E-5</c:v>
                </c:pt>
                <c:pt idx="212">
                  <c:v>2.5652001386540498E-5</c:v>
                </c:pt>
                <c:pt idx="213">
                  <c:v>2.5652001386540498E-5</c:v>
                </c:pt>
                <c:pt idx="214">
                  <c:v>2.5652001386540498E-5</c:v>
                </c:pt>
                <c:pt idx="215">
                  <c:v>2.5652001386540498E-5</c:v>
                </c:pt>
                <c:pt idx="216">
                  <c:v>2.5652001386540498E-5</c:v>
                </c:pt>
                <c:pt idx="217">
                  <c:v>2.5652001386540498E-5</c:v>
                </c:pt>
                <c:pt idx="218">
                  <c:v>2.5652001386540498E-5</c:v>
                </c:pt>
                <c:pt idx="219">
                  <c:v>2.5652001386540498E-5</c:v>
                </c:pt>
                <c:pt idx="220">
                  <c:v>2.5652001386540498E-5</c:v>
                </c:pt>
                <c:pt idx="221">
                  <c:v>2.5652001386540498E-5</c:v>
                </c:pt>
                <c:pt idx="222">
                  <c:v>2.5652001386540498E-5</c:v>
                </c:pt>
                <c:pt idx="223">
                  <c:v>2.5652001386540498E-5</c:v>
                </c:pt>
                <c:pt idx="224">
                  <c:v>2.5652001386540498E-5</c:v>
                </c:pt>
                <c:pt idx="225">
                  <c:v>2.5652001386540498E-5</c:v>
                </c:pt>
                <c:pt idx="226">
                  <c:v>2.5652001386540498E-5</c:v>
                </c:pt>
                <c:pt idx="227">
                  <c:v>2.5652001386540498E-5</c:v>
                </c:pt>
                <c:pt idx="228">
                  <c:v>2.5652001386540498E-5</c:v>
                </c:pt>
                <c:pt idx="229">
                  <c:v>2.5652001386540498E-5</c:v>
                </c:pt>
                <c:pt idx="230">
                  <c:v>2.5652001386540498E-5</c:v>
                </c:pt>
                <c:pt idx="231">
                  <c:v>2.5652001386540498E-5</c:v>
                </c:pt>
                <c:pt idx="232">
                  <c:v>2.5652001386540498E-5</c:v>
                </c:pt>
                <c:pt idx="233">
                  <c:v>2.5652001386540498E-5</c:v>
                </c:pt>
                <c:pt idx="234">
                  <c:v>2.5652001386540498E-5</c:v>
                </c:pt>
                <c:pt idx="235">
                  <c:v>2.5652001386540498E-5</c:v>
                </c:pt>
                <c:pt idx="236">
                  <c:v>2.5652001386540498E-5</c:v>
                </c:pt>
                <c:pt idx="237">
                  <c:v>2.5652001386540498E-5</c:v>
                </c:pt>
                <c:pt idx="238">
                  <c:v>2.5652001386540498E-5</c:v>
                </c:pt>
                <c:pt idx="239">
                  <c:v>2.5652001386540498E-5</c:v>
                </c:pt>
                <c:pt idx="240">
                  <c:v>2.5652001386540498E-5</c:v>
                </c:pt>
                <c:pt idx="241">
                  <c:v>2.5652001386540498E-5</c:v>
                </c:pt>
                <c:pt idx="242">
                  <c:v>2.5652001386540498E-5</c:v>
                </c:pt>
                <c:pt idx="243">
                  <c:v>2.5652001386540498E-5</c:v>
                </c:pt>
                <c:pt idx="244">
                  <c:v>2.5652001386540498E-5</c:v>
                </c:pt>
                <c:pt idx="245">
                  <c:v>2.5652001386540498E-5</c:v>
                </c:pt>
                <c:pt idx="246">
                  <c:v>2.5652001386540498E-5</c:v>
                </c:pt>
                <c:pt idx="247">
                  <c:v>2.5652001386540498E-5</c:v>
                </c:pt>
                <c:pt idx="248">
                  <c:v>2.5652001386540498E-5</c:v>
                </c:pt>
                <c:pt idx="249">
                  <c:v>2.5652001386540498E-5</c:v>
                </c:pt>
                <c:pt idx="250">
                  <c:v>2.5652001386540498E-5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62-4D30-AB2A-D2B7D0CB20F6}"/>
            </c:ext>
          </c:extLst>
        </c:ser>
        <c:ser>
          <c:idx val="2"/>
          <c:order val="2"/>
          <c:tx>
            <c:strRef>
              <c:f>CALCULATIONS!$D$7</c:f>
              <c:strCache>
                <c:ptCount val="1"/>
                <c:pt idx="0">
                  <c:v>aNAP (/m)</c:v>
                </c:pt>
              </c:strCache>
            </c:strRef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CALCULATIONS!$D$8:$D$258</c:f>
              <c:numCache>
                <c:formatCode>0.0000</c:formatCode>
                <c:ptCount val="251"/>
                <c:pt idx="0">
                  <c:v>6.9579644932809984E-4</c:v>
                </c:pt>
                <c:pt idx="1">
                  <c:v>6.7888867494994196E-4</c:v>
                </c:pt>
                <c:pt idx="2">
                  <c:v>6.6239175756120791E-4</c:v>
                </c:pt>
                <c:pt idx="3">
                  <c:v>6.46295713383904E-4</c:v>
                </c:pt>
                <c:pt idx="4">
                  <c:v>6.3059080124470328E-4</c:v>
                </c:pt>
                <c:pt idx="5">
                  <c:v>6.1526751667968012E-4</c:v>
                </c:pt>
                <c:pt idx="6">
                  <c:v>6.0031658618229827E-4</c:v>
                </c:pt>
                <c:pt idx="7">
                  <c:v>5.857289615911731E-4</c:v>
                </c:pt>
                <c:pt idx="8">
                  <c:v>5.7149581461420941E-4</c:v>
                </c:pt>
                <c:pt idx="9">
                  <c:v>5.5760853148580395E-4</c:v>
                </c:pt>
                <c:pt idx="10">
                  <c:v>5.4405870775387486E-4</c:v>
                </c:pt>
                <c:pt idx="11">
                  <c:v>5.3083814319356785E-4</c:v>
                </c:pt>
                <c:pt idx="12">
                  <c:v>5.1793883684455699E-4</c:v>
                </c:pt>
                <c:pt idx="13">
                  <c:v>5.0535298216894072E-4</c:v>
                </c:pt>
                <c:pt idx="14">
                  <c:v>4.9307296232679778E-4</c:v>
                </c:pt>
                <c:pt idx="15">
                  <c:v>4.8109134556654869E-4</c:v>
                </c:pt>
                <c:pt idx="16">
                  <c:v>4.6940088072732969E-4</c:v>
                </c:pt>
                <c:pt idx="17">
                  <c:v>4.5799449285065946E-4</c:v>
                </c:pt>
                <c:pt idx="18">
                  <c:v>4.4686527889874076E-4</c:v>
                </c:pt>
                <c:pt idx="19">
                  <c:v>4.3600650357680792E-4</c:v>
                </c:pt>
                <c:pt idx="20">
                  <c:v>4.2541159525698985E-4</c:v>
                </c:pt>
                <c:pt idx="21">
                  <c:v>4.1507414200122358E-4</c:v>
                </c:pt>
                <c:pt idx="22">
                  <c:v>4.0498788768080982E-4</c:v>
                </c:pt>
                <c:pt idx="23">
                  <c:v>3.9514672819026322E-4</c:v>
                </c:pt>
                <c:pt idx="24">
                  <c:v>3.8554470775316579E-4</c:v>
                </c:pt>
                <c:pt idx="25">
                  <c:v>3.7617601531778739E-4</c:v>
                </c:pt>
                <c:pt idx="26">
                  <c:v>3.6703498104029227E-4</c:v>
                </c:pt>
                <c:pt idx="27">
                  <c:v>3.5811607285340323E-4</c:v>
                </c:pt>
                <c:pt idx="28">
                  <c:v>3.4941389311844728E-4</c:v>
                </c:pt>
                <c:pt idx="29">
                  <c:v>3.409231753587557E-4</c:v>
                </c:pt>
                <c:pt idx="30">
                  <c:v>3.3263878107244214E-4</c:v>
                </c:pt>
                <c:pt idx="31">
                  <c:v>3.2455569662263027E-4</c:v>
                </c:pt>
                <c:pt idx="32">
                  <c:v>3.1666903020324805E-4</c:v>
                </c:pt>
                <c:pt idx="33">
                  <c:v>3.0897400887855344E-4</c:v>
                </c:pt>
                <c:pt idx="34">
                  <c:v>3.014659756945983E-4</c:v>
                </c:pt>
                <c:pt idx="35">
                  <c:v>2.9414038686088472E-4</c:v>
                </c:pt>
                <c:pt idx="36">
                  <c:v>2.8699280900050566E-4</c:v>
                </c:pt>
                <c:pt idx="37">
                  <c:v>2.8001891646710732E-4</c:v>
                </c:pt>
                <c:pt idx="38">
                  <c:v>2.732144887270492E-4</c:v>
                </c:pt>
                <c:pt idx="39">
                  <c:v>2.665754078051769E-4</c:v>
                </c:pt>
                <c:pt idx="40">
                  <c:v>2.6009765579266267E-4</c:v>
                </c:pt>
                <c:pt idx="41">
                  <c:v>2.5377731241540524E-4</c:v>
                </c:pt>
                <c:pt idx="42">
                  <c:v>2.4761055266151692E-4</c:v>
                </c:pt>
                <c:pt idx="43">
                  <c:v>2.4159364446646263E-4</c:v>
                </c:pt>
                <c:pt idx="44">
                  <c:v>2.3572294645445016E-4</c:v>
                </c:pt>
                <c:pt idx="45">
                  <c:v>2.2999490573470362E-4</c:v>
                </c:pt>
                <c:pt idx="46">
                  <c:v>2.2440605575128794E-4</c:v>
                </c:pt>
                <c:pt idx="47">
                  <c:v>2.1895301418518195E-4</c:v>
                </c:pt>
                <c:pt idx="48">
                  <c:v>2.1363248090733105E-4</c:v>
                </c:pt>
                <c:pt idx="49">
                  <c:v>2.0844123598144035E-4</c:v>
                </c:pt>
                <c:pt idx="50">
                  <c:v>2.0337613771529976E-4</c:v>
                </c:pt>
                <c:pt idx="51">
                  <c:v>1.9843412075946161E-4</c:v>
                </c:pt>
                <c:pt idx="52">
                  <c:v>1.9361219425212037E-4</c:v>
                </c:pt>
                <c:pt idx="53">
                  <c:v>1.8890744000907118E-4</c:v>
                </c:pt>
                <c:pt idx="54">
                  <c:v>1.8431701075765283E-4</c:v>
                </c:pt>
                <c:pt idx="55">
                  <c:v>1.7983812841360484E-4</c:v>
                </c:pt>
                <c:pt idx="56">
                  <c:v>1.7546808239979775E-4</c:v>
                </c:pt>
                <c:pt idx="57">
                  <c:v>1.7120422800581705E-4</c:v>
                </c:pt>
                <c:pt idx="58">
                  <c:v>1.6704398478740984E-4</c:v>
                </c:pt>
                <c:pt idx="59">
                  <c:v>1.6298483500482431E-4</c:v>
                </c:pt>
                <c:pt idx="60">
                  <c:v>1.5902432209909744E-4</c:v>
                </c:pt>
                <c:pt idx="61">
                  <c:v>1.5516004920536908E-4</c:v>
                </c:pt>
                <c:pt idx="62">
                  <c:v>1.5138967770232165E-4</c:v>
                </c:pt>
                <c:pt idx="63">
                  <c:v>1.4771092579686908E-4</c:v>
                </c:pt>
                <c:pt idx="64">
                  <c:v>1.4412156714323701E-4</c:v>
                </c:pt>
                <c:pt idx="65">
                  <c:v>1.406194294955996E-4</c:v>
                </c:pt>
                <c:pt idx="66">
                  <c:v>1.3720239339345684E-4</c:v>
                </c:pt>
                <c:pt idx="67">
                  <c:v>1.3386839087895717E-4</c:v>
                </c:pt>
                <c:pt idx="68">
                  <c:v>1.3061540424538908E-4</c:v>
                </c:pt>
                <c:pt idx="69">
                  <c:v>1.2744146481608403E-4</c:v>
                </c:pt>
                <c:pt idx="70">
                  <c:v>1.2434465175299202E-4</c:v>
                </c:pt>
                <c:pt idx="71">
                  <c:v>1.2132309089420871E-4</c:v>
                </c:pt>
                <c:pt idx="72">
                  <c:v>1.1837495361975028E-4</c:v>
                </c:pt>
                <c:pt idx="73">
                  <c:v>1.1549845574488994E-4</c:v>
                </c:pt>
                <c:pt idx="74">
                  <c:v>1.1269185644038645E-4</c:v>
                </c:pt>
                <c:pt idx="75">
                  <c:v>1.0995345717895052E-4</c:v>
                </c:pt>
                <c:pt idx="76">
                  <c:v>1.0728160070731239E-4</c:v>
                </c:pt>
                <c:pt idx="77">
                  <c:v>1.0467467004326768E-4</c:v>
                </c:pt>
                <c:pt idx="78">
                  <c:v>1.0213108749709528E-4</c:v>
                </c:pt>
                <c:pt idx="79">
                  <c:v>9.9649313716754351E-5</c:v>
                </c:pt>
                <c:pt idx="80">
                  <c:v>9.7227846756283169E-5</c:v>
                </c:pt>
                <c:pt idx="81">
                  <c:v>9.4865221166835599E-5</c:v>
                </c:pt>
                <c:pt idx="82">
                  <c:v>9.2560007109805306E-5</c:v>
                </c:pt>
                <c:pt idx="83">
                  <c:v>9.0310809491501128E-5</c:v>
                </c:pt>
                <c:pt idx="84">
                  <c:v>8.8116267118849441E-5</c:v>
                </c:pt>
                <c:pt idx="85">
                  <c:v>8.5975051875613183E-5</c:v>
                </c:pt>
                <c:pt idx="86">
                  <c:v>8.3885867918628352E-5</c:v>
                </c:pt>
                <c:pt idx="87">
                  <c:v>8.1847450893572063E-5</c:v>
                </c:pt>
                <c:pt idx="88">
                  <c:v>7.9858567169787312E-5</c:v>
                </c:pt>
                <c:pt idx="89">
                  <c:v>7.7918013093701438E-5</c:v>
                </c:pt>
                <c:pt idx="90">
                  <c:v>7.6024614260386279E-5</c:v>
                </c:pt>
                <c:pt idx="91">
                  <c:v>7.4177224802819566E-5</c:v>
                </c:pt>
                <c:pt idx="92">
                  <c:v>7.2374726698416959E-5</c:v>
                </c:pt>
                <c:pt idx="93">
                  <c:v>7.0616029092415464E-5</c:v>
                </c:pt>
                <c:pt idx="94">
                  <c:v>6.8900067637698428E-5</c:v>
                </c:pt>
                <c:pt idx="95">
                  <c:v>6.7225803850662799E-5</c:v>
                </c:pt>
                <c:pt idx="96">
                  <c:v>6.5592224482738596E-5</c:v>
                </c:pt>
                <c:pt idx="97">
                  <c:v>6.3998340907180611E-5</c:v>
                </c:pt>
                <c:pt idx="98">
                  <c:v>6.2443188520760768E-5</c:v>
                </c:pt>
                <c:pt idx="99">
                  <c:v>6.0925826159999499E-5</c:v>
                </c:pt>
                <c:pt idx="100">
                  <c:v>5.9445335531582408E-5</c:v>
                </c:pt>
                <c:pt idx="101">
                  <c:v>5.8000820656617966E-5</c:v>
                </c:pt>
                <c:pt idx="102">
                  <c:v>5.6591407328399533E-5</c:v>
                </c:pt>
                <c:pt idx="103">
                  <c:v>5.5216242583343727E-5</c:v>
                </c:pt>
                <c:pt idx="104">
                  <c:v>5.3874494184785033E-5</c:v>
                </c:pt>
                <c:pt idx="105">
                  <c:v>5.2565350119313969E-5</c:v>
                </c:pt>
                <c:pt idx="106">
                  <c:v>5.1288018105354321E-5</c:v>
                </c:pt>
                <c:pt idx="107">
                  <c:v>5.0041725113681851E-5</c:v>
                </c:pt>
                <c:pt idx="108">
                  <c:v>4.8825716899594296E-5</c:v>
                </c:pt>
                <c:pt idx="109">
                  <c:v>4.7639257546449664E-5</c:v>
                </c:pt>
                <c:pt idx="110">
                  <c:v>4.6481629020296459E-5</c:v>
                </c:pt>
                <c:pt idx="111">
                  <c:v>4.5352130735326301E-5</c:v>
                </c:pt>
                <c:pt idx="112">
                  <c:v>4.4250079129886113E-5</c:v>
                </c:pt>
                <c:pt idx="113">
                  <c:v>4.317480725279301E-5</c:v>
                </c:pt>
                <c:pt idx="114">
                  <c:v>4.2125664359701794E-5</c:v>
                </c:pt>
                <c:pt idx="115">
                  <c:v>4.1102015519280679E-5</c:v>
                </c:pt>
                <c:pt idx="116">
                  <c:v>4.0103241228956812E-5</c:v>
                </c:pt>
                <c:pt idx="117">
                  <c:v>3.9128737039999245E-5</c:v>
                </c:pt>
                <c:pt idx="118">
                  <c:v>3.8177913191712241E-5</c:v>
                </c:pt>
                <c:pt idx="119">
                  <c:v>3.7250194254517756E-5</c:v>
                </c:pt>
                <c:pt idx="120">
                  <c:v>3.6345018781710825E-5</c:v>
                </c:pt>
                <c:pt idx="121">
                  <c:v>3.546183896967746E-5</c:v>
                </c:pt>
                <c:pt idx="122">
                  <c:v>3.460012032636898E-5</c:v>
                </c:pt>
                <c:pt idx="123">
                  <c:v>3.3759341347832541E-5</c:v>
                </c:pt>
                <c:pt idx="124">
                  <c:v>3.2938993202601911E-5</c:v>
                </c:pt>
                <c:pt idx="125">
                  <c:v>3.2138579423757444E-5</c:v>
                </c:pt>
                <c:pt idx="126">
                  <c:v>3.1357615608469045E-5</c:v>
                </c:pt>
                <c:pt idx="127">
                  <c:v>3.0595629124840142E-5</c:v>
                </c:pt>
                <c:pt idx="128">
                  <c:v>2.9852158825875369E-5</c:v>
                </c:pt>
                <c:pt idx="129">
                  <c:v>2.912675477039875E-5</c:v>
                </c:pt>
                <c:pt idx="130">
                  <c:v>2.8418977950753589E-5</c:v>
                </c:pt>
                <c:pt idx="131">
                  <c:v>2.772840002711919E-5</c:v>
                </c:pt>
                <c:pt idx="132">
                  <c:v>2.7054603068283661E-5</c:v>
                </c:pt>
                <c:pt idx="133">
                  <c:v>2.639717929871588E-5</c:v>
                </c:pt>
                <c:pt idx="134">
                  <c:v>2.5755730851783657E-5</c:v>
                </c:pt>
                <c:pt idx="135">
                  <c:v>2.5129869528968582E-5</c:v>
                </c:pt>
                <c:pt idx="136">
                  <c:v>2.451921656493199E-5</c:v>
                </c:pt>
                <c:pt idx="137">
                  <c:v>2.3923402398289736E-5</c:v>
                </c:pt>
                <c:pt idx="138">
                  <c:v>2.3342066447957191E-5</c:v>
                </c:pt>
                <c:pt idx="139">
                  <c:v>2.2774856894928951E-5</c:v>
                </c:pt>
                <c:pt idx="140">
                  <c:v>2.2221430469361325E-5</c:v>
                </c:pt>
                <c:pt idx="141">
                  <c:v>2.1681452242828704E-5</c:v>
                </c:pt>
                <c:pt idx="142">
                  <c:v>2.1154595425628003E-5</c:v>
                </c:pt>
                <c:pt idx="143">
                  <c:v>2.0640541169008672E-5</c:v>
                </c:pt>
                <c:pt idx="144">
                  <c:v>2.0138978372208433E-5</c:v>
                </c:pt>
                <c:pt idx="145">
                  <c:v>1.964960349417807E-5</c:v>
                </c:pt>
                <c:pt idx="146">
                  <c:v>1.917212036988124E-5</c:v>
                </c:pt>
                <c:pt idx="147">
                  <c:v>1.8706240031058208E-5</c:v>
                </c:pt>
                <c:pt idx="148">
                  <c:v>1.825168053134502E-5</c:v>
                </c:pt>
                <c:pt idx="149">
                  <c:v>1.7808166775642192E-5</c:v>
                </c:pt>
                <c:pt idx="150">
                  <c:v>1.7375430353629799E-5</c:v>
                </c:pt>
                <c:pt idx="151">
                  <c:v>1.6953209377328099E-5</c:v>
                </c:pt>
                <c:pt idx="152">
                  <c:v>1.6541248322605371E-5</c:v>
                </c:pt>
                <c:pt idx="153">
                  <c:v>1.6139297874537173E-5</c:v>
                </c:pt>
                <c:pt idx="154">
                  <c:v>1.5747114776523284E-5</c:v>
                </c:pt>
                <c:pt idx="155">
                  <c:v>1.5364461683071148E-5</c:v>
                </c:pt>
                <c:pt idx="156">
                  <c:v>1.4991107016156603E-5</c:v>
                </c:pt>
                <c:pt idx="157">
                  <c:v>1.4626824825075066E-5</c:v>
                </c:pt>
                <c:pt idx="158">
                  <c:v>1.4271394649698317E-5</c:v>
                </c:pt>
                <c:pt idx="159">
                  <c:v>1.3924601387054106E-5</c:v>
                </c:pt>
                <c:pt idx="160">
                  <c:v>1.3586235161147886E-5</c:v>
                </c:pt>
                <c:pt idx="161">
                  <c:v>1.3256091195947854E-5</c:v>
                </c:pt>
                <c:pt idx="162">
                  <c:v>1.2933969691456411E-5</c:v>
                </c:pt>
                <c:pt idx="163">
                  <c:v>1.2619675702793132E-5</c:v>
                </c:pt>
                <c:pt idx="164">
                  <c:v>1.2313019022215947E-5</c:v>
                </c:pt>
                <c:pt idx="165">
                  <c:v>1.2013814064009236E-5</c:v>
                </c:pt>
                <c:pt idx="166">
                  <c:v>1.1721879752169102E-5</c:v>
                </c:pt>
                <c:pt idx="167">
                  <c:v>1.14370394108179E-5</c:v>
                </c:pt>
                <c:pt idx="168">
                  <c:v>1.1159120657281659E-5</c:v>
                </c:pt>
                <c:pt idx="169">
                  <c:v>1.0887955297765734E-5</c:v>
                </c:pt>
                <c:pt idx="170">
                  <c:v>1.0623379225565506E-5</c:v>
                </c:pt>
                <c:pt idx="171">
                  <c:v>1.0365232321750577E-5</c:v>
                </c:pt>
                <c:pt idx="172">
                  <c:v>1.0113358358262286E-5</c:v>
                </c:pt>
                <c:pt idx="173">
                  <c:v>9.8676049033659909E-6</c:v>
                </c:pt>
                <c:pt idx="174">
                  <c:v>9.6278232294008175E-6</c:v>
                </c:pt>
                <c:pt idx="175">
                  <c:v>9.3938682227710923E-6</c:v>
                </c:pt>
                <c:pt idx="176">
                  <c:v>9.1655982961249667E-6</c:v>
                </c:pt>
                <c:pt idx="177">
                  <c:v>8.9428753026671019E-6</c:v>
                </c:pt>
                <c:pt idx="178">
                  <c:v>8.7255644525535286E-6</c:v>
                </c:pt>
                <c:pt idx="179">
                  <c:v>8.5135342313181202E-6</c:v>
                </c:pt>
                <c:pt idx="180">
                  <c:v>8.3066563202812729E-6</c:v>
                </c:pt>
                <c:pt idx="181">
                  <c:v>8.104805518892681E-6</c:v>
                </c:pt>
                <c:pt idx="182">
                  <c:v>7.9078596689611198E-6</c:v>
                </c:pt>
                <c:pt idx="183">
                  <c:v>7.7156995807254857E-6</c:v>
                </c:pt>
                <c:pt idx="184">
                  <c:v>7.5282089607222816E-6</c:v>
                </c:pt>
                <c:pt idx="185">
                  <c:v>7.3452743414059107E-6</c:v>
                </c:pt>
                <c:pt idx="186">
                  <c:v>7.1667850124791945E-6</c:v>
                </c:pt>
                <c:pt idx="187">
                  <c:v>6.9926329538925612E-6</c:v>
                </c:pt>
                <c:pt idx="188">
                  <c:v>6.8227127704713055E-6</c:v>
                </c:pt>
                <c:pt idx="189">
                  <c:v>6.6569216281314763E-6</c:v>
                </c:pt>
                <c:pt idx="190">
                  <c:v>6.495159191645611E-6</c:v>
                </c:pt>
                <c:pt idx="191">
                  <c:v>6.3373275639208557E-6</c:v>
                </c:pt>
                <c:pt idx="192">
                  <c:v>6.1833312267525262E-6</c:v>
                </c:pt>
                <c:pt idx="193">
                  <c:v>6.0330769830174471E-6</c:v>
                </c:pt>
                <c:pt idx="194">
                  <c:v>5.8864739002718816E-6</c:v>
                </c:pt>
                <c:pt idx="195">
                  <c:v>5.7434332557201271E-6</c:v>
                </c:pt>
                <c:pt idx="196">
                  <c:v>5.6038684825202989E-6</c:v>
                </c:pt>
                <c:pt idx="197">
                  <c:v>5.4676951173948818E-6</c:v>
                </c:pt>
                <c:pt idx="198">
                  <c:v>5.3348307495143936E-6</c:v>
                </c:pt>
                <c:pt idx="199">
                  <c:v>5.2051949706230926E-6</c:v>
                </c:pt>
                <c:pt idx="200">
                  <c:v>5.078709326376703E-6</c:v>
                </c:pt>
                <c:pt idx="201">
                  <c:v>4.9552972688625477E-6</c:v>
                </c:pt>
                <c:pt idx="202">
                  <c:v>4.834884110273519E-6</c:v>
                </c:pt>
                <c:pt idx="203">
                  <c:v>4.7173969777076853E-6</c:v>
                </c:pt>
                <c:pt idx="204">
                  <c:v>4.6027647690663394E-6</c:v>
                </c:pt>
                <c:pt idx="205">
                  <c:v>4.4909181100236622E-6</c:v>
                </c:pt>
                <c:pt idx="206">
                  <c:v>4.3817893120420284E-6</c:v>
                </c:pt>
                <c:pt idx="207">
                  <c:v>4.2753123314075765E-6</c:v>
                </c:pt>
                <c:pt idx="208">
                  <c:v>4.1714227292611438E-6</c:v>
                </c:pt>
                <c:pt idx="209">
                  <c:v>4.0700576326005149E-6</c:v>
                </c:pt>
                <c:pt idx="210">
                  <c:v>3.9711556962302418E-6</c:v>
                </c:pt>
                <c:pt idx="211">
                  <c:v>3.8746570656361462E-6</c:v>
                </c:pt>
                <c:pt idx="212">
                  <c:v>3.7805033407619039E-6</c:v>
                </c:pt>
                <c:pt idx="213">
                  <c:v>3.6886375406659169E-6</c:v>
                </c:pt>
                <c:pt idx="214">
                  <c:v>3.5990040690369548E-6</c:v>
                </c:pt>
                <c:pt idx="215">
                  <c:v>3.5115486805478196E-6</c:v>
                </c:pt>
                <c:pt idx="216">
                  <c:v>3.4262184480265802E-6</c:v>
                </c:pt>
                <c:pt idx="217">
                  <c:v>3.3429617304255395E-6</c:v>
                </c:pt>
                <c:pt idx="218">
                  <c:v>3.2617281415685818E-6</c:v>
                </c:pt>
                <c:pt idx="219">
                  <c:v>3.1824685196579141E-6</c:v>
                </c:pt>
                <c:pt idx="220">
                  <c:v>3.105134897521835E-6</c:v>
                </c:pt>
                <c:pt idx="221">
                  <c:v>3.0296804735854351E-6</c:v>
                </c:pt>
                <c:pt idx="222">
                  <c:v>2.9560595835467496E-6</c:v>
                </c:pt>
                <c:pt idx="223">
                  <c:v>2.8842276727411334E-6</c:v>
                </c:pt>
                <c:pt idx="224">
                  <c:v>2.81414126917722E-6</c:v>
                </c:pt>
                <c:pt idx="225">
                  <c:v>2.7457579572280762E-6</c:v>
                </c:pt>
                <c:pt idx="226">
                  <c:v>2.679036351961658E-6</c:v>
                </c:pt>
                <c:pt idx="227">
                  <c:v>2.6139360740950628E-6</c:v>
                </c:pt>
                <c:pt idx="228">
                  <c:v>2.5504177255573468E-6</c:v>
                </c:pt>
                <c:pt idx="229">
                  <c:v>2.4884428656462071E-6</c:v>
                </c:pt>
                <c:pt idx="230">
                  <c:v>2.4279739877640157E-6</c:v>
                </c:pt>
                <c:pt idx="231">
                  <c:v>2.3689744967191978E-6</c:v>
                </c:pt>
                <c:pt idx="232">
                  <c:v>2.3114086865791532E-6</c:v>
                </c:pt>
                <c:pt idx="233">
                  <c:v>2.2552417190613792E-6</c:v>
                </c:pt>
                <c:pt idx="234">
                  <c:v>2.2004396024496593E-6</c:v>
                </c:pt>
                <c:pt idx="235">
                  <c:v>2.1469691710226099E-6</c:v>
                </c:pt>
                <c:pt idx="236">
                  <c:v>2.0947980649820949E-6</c:v>
                </c:pt>
                <c:pt idx="237">
                  <c:v>2.0438947108693778E-6</c:v>
                </c:pt>
                <c:pt idx="238">
                  <c:v>1.994228302457177E-6</c:v>
                </c:pt>
                <c:pt idx="239">
                  <c:v>1.9457687821060122E-6</c:v>
                </c:pt>
                <c:pt idx="240">
                  <c:v>1.8984868225736236E-6</c:v>
                </c:pt>
                <c:pt idx="241">
                  <c:v>1.8523538092663873E-6</c:v>
                </c:pt>
                <c:pt idx="242">
                  <c:v>1.8073418229220474E-6</c:v>
                </c:pt>
                <c:pt idx="243">
                  <c:v>1.763423622713231E-6</c:v>
                </c:pt>
                <c:pt idx="244">
                  <c:v>1.7205726297615697E-6</c:v>
                </c:pt>
                <c:pt idx="245">
                  <c:v>1.6787629110524071E-6</c:v>
                </c:pt>
                <c:pt idx="246">
                  <c:v>1.6379691637403835E-6</c:v>
                </c:pt>
                <c:pt idx="247">
                  <c:v>1.5981666998363997E-6</c:v>
                </c:pt>
                <c:pt idx="248">
                  <c:v>1.5593314312666725E-6</c:v>
                </c:pt>
                <c:pt idx="249">
                  <c:v>1.5214398552948697E-6</c:v>
                </c:pt>
                <c:pt idx="250">
                  <c:v>1.484469040298467E-6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62-4D30-AB2A-D2B7D0CB20F6}"/>
            </c:ext>
          </c:extLst>
        </c:ser>
        <c:ser>
          <c:idx val="3"/>
          <c:order val="3"/>
          <c:tx>
            <c:strRef>
              <c:f>CALCULATIONS!$E$7</c:f>
              <c:strCache>
                <c:ptCount val="1"/>
                <c:pt idx="0">
                  <c:v>aCDOM (/m)</c:v>
                </c:pt>
              </c:strCache>
            </c:strRef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CALCULATIONS!$E$8:$E$258</c:f>
              <c:numCache>
                <c:formatCode>0.0000</c:formatCode>
                <c:ptCount val="251"/>
                <c:pt idx="0">
                  <c:v>2.1314446728969748E-3</c:v>
                </c:pt>
                <c:pt idx="1">
                  <c:v>2.057722934858482E-3</c:v>
                </c:pt>
                <c:pt idx="2">
                  <c:v>1.9865510611108733E-3</c:v>
                </c:pt>
                <c:pt idx="3">
                  <c:v>1.9178408577499508E-3</c:v>
                </c:pt>
                <c:pt idx="4">
                  <c:v>1.8515071812945383E-3</c:v>
                </c:pt>
                <c:pt idx="5">
                  <c:v>1.7874678331794103E-3</c:v>
                </c:pt>
                <c:pt idx="6">
                  <c:v>1.7256434578974656E-3</c:v>
                </c:pt>
                <c:pt idx="7">
                  <c:v>1.6659574446649254E-3</c:v>
                </c:pt>
                <c:pt idx="8">
                  <c:v>1.6083358324877081E-3</c:v>
                </c:pt>
                <c:pt idx="9">
                  <c:v>1.5527072185113359E-3</c:v>
                </c:pt>
                <c:pt idx="10">
                  <c:v>1.4990026695408066E-3</c:v>
                </c:pt>
                <c:pt idx="11">
                  <c:v>1.4471556366207874E-3</c:v>
                </c:pt>
                <c:pt idx="12">
                  <c:v>1.3971018725702847E-3</c:v>
                </c:pt>
                <c:pt idx="13">
                  <c:v>1.348779352369596E-3</c:v>
                </c:pt>
                <c:pt idx="14">
                  <c:v>1.3021281963008942E-3</c:v>
                </c:pt>
                <c:pt idx="15">
                  <c:v>1.2570905957472016E-3</c:v>
                </c:pt>
                <c:pt idx="16">
                  <c:v>1.2136107415578043E-3</c:v>
                </c:pt>
                <c:pt idx="17">
                  <c:v>1.1716347548913417E-3</c:v>
                </c:pt>
                <c:pt idx="18">
                  <c:v>1.1311106204508752E-3</c:v>
                </c:pt>
                <c:pt idx="19">
                  <c:v>1.0919881220281976E-3</c:v>
                </c:pt>
                <c:pt idx="20">
                  <c:v>1.0542187802775192E-3</c:v>
                </c:pt>
                <c:pt idx="21">
                  <c:v>1.0177557926414167E-3</c:v>
                </c:pt>
                <c:pt idx="22">
                  <c:v>9.825539753546041E-4</c:v>
                </c:pt>
                <c:pt idx="23">
                  <c:v>9.4856970745365947E-4</c:v>
                </c:pt>
                <c:pt idx="24">
                  <c:v>9.1576087672332561E-4</c:v>
                </c:pt>
                <c:pt idx="25">
                  <c:v>8.8408682751240297E-4</c:v>
                </c:pt>
                <c:pt idx="26">
                  <c:v>8.5350831035457006E-4</c:v>
                </c:pt>
                <c:pt idx="27">
                  <c:v>8.2398743333170308E-4</c:v>
                </c:pt>
                <c:pt idx="28">
                  <c:v>7.9548761511942609E-4</c:v>
                </c:pt>
                <c:pt idx="29">
                  <c:v>7.6797353965670618E-4</c:v>
                </c:pt>
                <c:pt idx="30">
                  <c:v>7.4141111238332301E-4</c:v>
                </c:pt>
                <c:pt idx="31">
                  <c:v>7.1576741799098305E-4</c:v>
                </c:pt>
                <c:pt idx="32">
                  <c:v>6.9101067963572458E-4</c:v>
                </c:pt>
                <c:pt idx="33">
                  <c:v>6.6711021956107164E-4</c:v>
                </c:pt>
                <c:pt idx="34">
                  <c:v>6.440364210831414E-4</c:v>
                </c:pt>
                <c:pt idx="35">
                  <c:v>6.2176069189059902E-4</c:v>
                </c:pt>
                <c:pt idx="36">
                  <c:v>6.0025542861398258E-4</c:v>
                </c:pt>
                <c:pt idx="37">
                  <c:v>5.7949398262049229E-4</c:v>
                </c:pt>
                <c:pt idx="38">
                  <c:v>5.5945062699185857E-4</c:v>
                </c:pt>
                <c:pt idx="39">
                  <c:v>5.4010052464437065E-4</c:v>
                </c:pt>
                <c:pt idx="40">
                  <c:v>5.2141969755155804E-4</c:v>
                </c:pt>
                <c:pt idx="41">
                  <c:v>5.0338499703138915E-4</c:v>
                </c:pt>
                <c:pt idx="42">
                  <c:v>4.8597407506116667E-4</c:v>
                </c:pt>
                <c:pt idx="43">
                  <c:v>4.6916535658457405E-4</c:v>
                </c:pt>
                <c:pt idx="44">
                  <c:v>4.529380127765577E-4</c:v>
                </c:pt>
                <c:pt idx="45">
                  <c:v>4.3727193523291464E-4</c:v>
                </c:pt>
                <c:pt idx="46">
                  <c:v>4.2214771105260254E-4</c:v>
                </c:pt>
                <c:pt idx="47">
                  <c:v>4.0754659878189538E-4</c:v>
                </c:pt>
                <c:pt idx="48">
                  <c:v>3.934505051905747E-4</c:v>
                </c:pt>
                <c:pt idx="49">
                  <c:v>3.7984196285137866E-4</c:v>
                </c:pt>
                <c:pt idx="50">
                  <c:v>3.6670410849492645E-4</c:v>
                </c:pt>
                <c:pt idx="51">
                  <c:v>3.5402066211329537E-4</c:v>
                </c:pt>
                <c:pt idx="52">
                  <c:v>3.4177590678635672E-4</c:v>
                </c:pt>
                <c:pt idx="53">
                  <c:v>3.2995466920587277E-4</c:v>
                </c:pt>
                <c:pt idx="54">
                  <c:v>3.1854230087321897E-4</c:v>
                </c:pt>
                <c:pt idx="55">
                  <c:v>3.0752465994743485E-4</c:v>
                </c:pt>
                <c:pt idx="56">
                  <c:v>2.9688809372110741E-4</c:v>
                </c:pt>
                <c:pt idx="57">
                  <c:v>2.8661942170237425E-4</c:v>
                </c:pt>
                <c:pt idx="58">
                  <c:v>2.7670591928208028E-4</c:v>
                </c:pt>
                <c:pt idx="59">
                  <c:v>2.6713530196585032E-4</c:v>
                </c:pt>
                <c:pt idx="60">
                  <c:v>2.5789571015153725E-4</c:v>
                </c:pt>
                <c:pt idx="61">
                  <c:v>2.4897569443318334E-4</c:v>
                </c:pt>
                <c:pt idx="62">
                  <c:v>2.4036420141328353E-4</c:v>
                </c:pt>
                <c:pt idx="63">
                  <c:v>2.3205056000576938E-4</c:v>
                </c:pt>
                <c:pt idx="64">
                  <c:v>2.2402446821274174E-4</c:v>
                </c:pt>
                <c:pt idx="65">
                  <c:v>2.1627598035856474E-4</c:v>
                </c:pt>
                <c:pt idx="66">
                  <c:v>2.0879549476550378E-4</c:v>
                </c:pt>
                <c:pt idx="67">
                  <c:v>2.0157374185563405E-4</c:v>
                </c:pt>
                <c:pt idx="68">
                  <c:v>1.9460177266427702E-4</c:v>
                </c:pt>
                <c:pt idx="69">
                  <c:v>1.8787094775072989E-4</c:v>
                </c:pt>
                <c:pt idx="70">
                  <c:v>1.8137292649254819E-4</c:v>
                </c:pt>
                <c:pt idx="71">
                  <c:v>1.7509965675011334E-4</c:v>
                </c:pt>
                <c:pt idx="72">
                  <c:v>1.6904336488867981E-4</c:v>
                </c:pt>
                <c:pt idx="73">
                  <c:v>1.631965461455357E-4</c:v>
                </c:pt>
                <c:pt idx="74">
                  <c:v>1.5755195533034193E-4</c:v>
                </c:pt>
                <c:pt idx="75">
                  <c:v>1.5210259784712409E-4</c:v>
                </c:pt>
                <c:pt idx="76">
                  <c:v>1.4684172102679395E-4</c:v>
                </c:pt>
                <c:pt idx="77">
                  <c:v>1.4176280575945777E-4</c:v>
                </c:pt>
                <c:pt idx="78">
                  <c:v>1.3685955841614489E-4</c:v>
                </c:pt>
                <c:pt idx="79">
                  <c:v>1.3212590304994409E-4</c:v>
                </c:pt>
                <c:pt idx="80">
                  <c:v>1.275559738668852E-4</c:v>
                </c:pt>
                <c:pt idx="81">
                  <c:v>1.2314410795723514E-4</c:v>
                </c:pt>
                <c:pt idx="82">
                  <c:v>1.1888483827820184E-4</c:v>
                </c:pt>
                <c:pt idx="83">
                  <c:v>1.147728868793499E-4</c:v>
                </c:pt>
                <c:pt idx="84">
                  <c:v>1.1080315836233387E-4</c:v>
                </c:pt>
                <c:pt idx="85">
                  <c:v>1.0697073356684377E-4</c:v>
                </c:pt>
                <c:pt idx="86">
                  <c:v>1.0327086347493948E-4</c:v>
                </c:pt>
                <c:pt idx="87">
                  <c:v>9.9698963326219799E-5</c:v>
                </c:pt>
                <c:pt idx="88">
                  <c:v>9.6250606936534527E-5</c:v>
                </c:pt>
                <c:pt idx="89">
                  <c:v>9.2921521213198862E-5</c:v>
                </c:pt>
                <c:pt idx="90">
                  <c:v>8.9707580859914001E-5</c:v>
                </c:pt>
                <c:pt idx="91">
                  <c:v>8.6604803264832023E-5</c:v>
                </c:pt>
                <c:pt idx="92">
                  <c:v>8.3609343565431332E-5</c:v>
                </c:pt>
                <c:pt idx="93">
                  <c:v>8.0717489884085967E-5</c:v>
                </c:pt>
                <c:pt idx="94">
                  <c:v>7.7925658728425997E-5</c:v>
                </c:pt>
                <c:pt idx="95">
                  <c:v>7.5230390550788564E-5</c:v>
                </c:pt>
                <c:pt idx="96">
                  <c:v>7.262834546125747E-5</c:v>
                </c:pt>
                <c:pt idx="97">
                  <c:v>7.0116299088978604E-5</c:v>
                </c:pt>
                <c:pt idx="98">
                  <c:v>6.7691138586622863E-5</c:v>
                </c:pt>
                <c:pt idx="99">
                  <c:v>6.534985877304565E-5</c:v>
                </c:pt>
                <c:pt idx="100">
                  <c:v>6.3089558409362755E-5</c:v>
                </c:pt>
                <c:pt idx="101">
                  <c:v>6.0907436603828088E-5</c:v>
                </c:pt>
                <c:pt idx="102">
                  <c:v>5.8800789341058356E-5</c:v>
                </c:pt>
                <c:pt idx="103">
                  <c:v>5.6767006131304049E-5</c:v>
                </c:pt>
                <c:pt idx="104">
                  <c:v>5.480356677561413E-5</c:v>
                </c:pt>
                <c:pt idx="105">
                  <c:v>5.2908038242886352E-5</c:v>
                </c:pt>
                <c:pt idx="106">
                  <c:v>5.1078071654932985E-5</c:v>
                </c:pt>
                <c:pt idx="107">
                  <c:v>4.9311399375826466E-5</c:v>
                </c:pt>
                <c:pt idx="108">
                  <c:v>4.7605832201917508E-5</c:v>
                </c:pt>
                <c:pt idx="109">
                  <c:v>4.5959256649044205E-5</c:v>
                </c:pt>
                <c:pt idx="110">
                  <c:v>4.436963233357013E-5</c:v>
                </c:pt>
                <c:pt idx="111">
                  <c:v>4.2834989444006454E-5</c:v>
                </c:pt>
                <c:pt idx="112">
                  <c:v>4.1353426300084651E-5</c:v>
                </c:pt>
                <c:pt idx="113">
                  <c:v>3.9923106996255203E-5</c:v>
                </c:pt>
                <c:pt idx="114">
                  <c:v>3.8542259126692459E-5</c:v>
                </c:pt>
                <c:pt idx="115">
                  <c:v>3.720917158898601E-5</c:v>
                </c:pt>
                <c:pt idx="116">
                  <c:v>3.5922192463797557E-5</c:v>
                </c:pt>
                <c:pt idx="117">
                  <c:v>3.4679726967855303E-5</c:v>
                </c:pt>
                <c:pt idx="118">
                  <c:v>3.3480235477749771E-5</c:v>
                </c:pt>
                <c:pt idx="119">
                  <c:v>3.2322231622081757E-5</c:v>
                </c:pt>
                <c:pt idx="120">
                  <c:v>3.1204280439598608E-5</c:v>
                </c:pt>
                <c:pt idx="121">
                  <c:v>3.0124996601036144E-5</c:v>
                </c:pt>
                <c:pt idx="122">
                  <c:v>2.908304269246315E-5</c:v>
                </c:pt>
                <c:pt idx="123">
                  <c:v>2.807712755800086E-5</c:v>
                </c:pt>
                <c:pt idx="124">
                  <c:v>2.7106004699864014E-5</c:v>
                </c:pt>
                <c:pt idx="125">
                  <c:v>2.6168470733740684E-5</c:v>
                </c:pt>
                <c:pt idx="126">
                  <c:v>2.5263363897597133E-5</c:v>
                </c:pt>
                <c:pt idx="127">
                  <c:v>2.4389562612059479E-5</c:v>
                </c:pt>
                <c:pt idx="128">
                  <c:v>2.3545984090588477E-5</c:v>
                </c:pt>
                <c:pt idx="129">
                  <c:v>2.2731582997725206E-5</c:v>
                </c:pt>
                <c:pt idx="130">
                  <c:v>2.194535015374485E-5</c:v>
                </c:pt>
                <c:pt idx="131">
                  <c:v>2.1186311284113554E-5</c:v>
                </c:pt>
                <c:pt idx="132">
                  <c:v>2.0453525812198617E-5</c:v>
                </c:pt>
                <c:pt idx="133">
                  <c:v>1.9746085693736131E-5</c:v>
                </c:pt>
                <c:pt idx="134">
                  <c:v>1.9063114291611626E-5</c:v>
                </c:pt>
                <c:pt idx="135">
                  <c:v>1.8403765289559459E-5</c:v>
                </c:pt>
                <c:pt idx="136">
                  <c:v>1.7767221643434801E-5</c:v>
                </c:pt>
                <c:pt idx="137">
                  <c:v>1.7152694568758798E-5</c:v>
                </c:pt>
                <c:pt idx="138">
                  <c:v>1.6559422563282039E-5</c:v>
                </c:pt>
                <c:pt idx="139">
                  <c:v>1.5986670463355501E-5</c:v>
                </c:pt>
                <c:pt idx="140">
                  <c:v>1.5433728532939186E-5</c:v>
                </c:pt>
                <c:pt idx="141">
                  <c:v>1.4899911584120105E-5</c:v>
                </c:pt>
                <c:pt idx="142">
                  <c:v>1.4384558128049284E-5</c:v>
                </c:pt>
                <c:pt idx="143">
                  <c:v>1.3887029555246023E-5</c:v>
                </c:pt>
                <c:pt idx="144">
                  <c:v>1.3406709344253556E-5</c:v>
                </c:pt>
                <c:pt idx="145">
                  <c:v>1.2943002297665326E-5</c:v>
                </c:pt>
                <c:pt idx="146">
                  <c:v>1.2495333804575508E-5</c:v>
                </c:pt>
                <c:pt idx="147">
                  <c:v>1.2063149128539603E-5</c:v>
                </c:pt>
                <c:pt idx="148">
                  <c:v>1.1645912720162773E-5</c:v>
                </c:pt>
                <c:pt idx="149">
                  <c:v>1.1243107553464221E-5</c:v>
                </c:pt>
                <c:pt idx="150">
                  <c:v>1.085423448519521E-5</c:v>
                </c:pt>
                <c:pt idx="151">
                  <c:v>1.047881163631668E-5</c:v>
                </c:pt>
                <c:pt idx="152">
                  <c:v>1.0116373794870263E-5</c:v>
                </c:pt>
                <c:pt idx="153">
                  <c:v>9.7664718395024799E-6</c:v>
                </c:pt>
                <c:pt idx="154">
                  <c:v>9.4286721829279883E-6</c:v>
                </c:pt>
                <c:pt idx="155">
                  <c:v>9.1025562346421308E-6</c:v>
                </c:pt>
                <c:pt idx="156">
                  <c:v>8.7877198822169638E-6</c:v>
                </c:pt>
                <c:pt idx="157">
                  <c:v>8.4837729905381214E-6</c:v>
                </c:pt>
                <c:pt idx="158">
                  <c:v>8.1903389183618924E-6</c:v>
                </c:pt>
                <c:pt idx="159">
                  <c:v>7.907054051593441E-6</c:v>
                </c:pt>
                <c:pt idx="160">
                  <c:v>7.6335673527078911E-6</c:v>
                </c:pt>
                <c:pt idx="161">
                  <c:v>7.3695399257559E-6</c:v>
                </c:pt>
                <c:pt idx="162">
                  <c:v>7.1146445964146159E-6</c:v>
                </c:pt>
                <c:pt idx="163">
                  <c:v>6.8685655065638019E-6</c:v>
                </c:pt>
                <c:pt idx="164">
                  <c:v>6.6309977228845316E-6</c:v>
                </c:pt>
                <c:pt idx="165">
                  <c:v>6.4016468589956171E-6</c:v>
                </c:pt>
                <c:pt idx="166">
                  <c:v>6.1802287106594616E-6</c:v>
                </c:pt>
                <c:pt idx="167">
                  <c:v>5.9664689036052397E-6</c:v>
                </c:pt>
                <c:pt idx="168">
                  <c:v>5.7601025535331229E-6</c:v>
                </c:pt>
                <c:pt idx="169">
                  <c:v>5.5608739378781548E-6</c:v>
                </c:pt>
                <c:pt idx="170">
                  <c:v>5.3685361789270184E-6</c:v>
                </c:pt>
                <c:pt idx="171">
                  <c:v>5.1828509378951217E-6</c:v>
                </c:pt>
                <c:pt idx="172">
                  <c:v>5.0035881195847878E-6</c:v>
                </c:pt>
                <c:pt idx="173">
                  <c:v>4.8305255872586766E-6</c:v>
                </c:pt>
                <c:pt idx="174">
                  <c:v>4.6634488873750705E-6</c:v>
                </c:pt>
                <c:pt idx="175">
                  <c:v>4.5021509838439002E-6</c:v>
                </c:pt>
                <c:pt idx="176">
                  <c:v>4.3464320014742689E-6</c:v>
                </c:pt>
                <c:pt idx="177">
                  <c:v>4.1960989782955373E-6</c:v>
                </c:pt>
                <c:pt idx="178">
                  <c:v>4.0509656264450094E-6</c:v>
                </c:pt>
                <c:pt idx="179">
                  <c:v>3.9108521013260025E-6</c:v>
                </c:pt>
                <c:pt idx="180">
                  <c:v>3.775584778750195E-6</c:v>
                </c:pt>
                <c:pt idx="181">
                  <c:v>3.6449960397880731E-6</c:v>
                </c:pt>
                <c:pt idx="182">
                  <c:v>3.5189240630609593E-6</c:v>
                </c:pt>
                <c:pt idx="183">
                  <c:v>3.3972126242171199E-6</c:v>
                </c:pt>
                <c:pt idx="184">
                  <c:v>3.2797109023435702E-6</c:v>
                </c:pt>
                <c:pt idx="185">
                  <c:v>3.1662732930736403E-6</c:v>
                </c:pt>
                <c:pt idx="186">
                  <c:v>3.0567592281586971E-6</c:v>
                </c:pt>
                <c:pt idx="187">
                  <c:v>2.9510330012804835E-6</c:v>
                </c:pt>
                <c:pt idx="188">
                  <c:v>2.8489635998882097E-6</c:v>
                </c:pt>
                <c:pt idx="189">
                  <c:v>2.7504245428519795E-6</c:v>
                </c:pt>
                <c:pt idx="190">
                  <c:v>2.6552937237314523E-6</c:v>
                </c:pt>
                <c:pt idx="191">
                  <c:v>2.5634532594654375E-6</c:v>
                </c:pt>
                <c:pt idx="192">
                  <c:v>2.4747893442949918E-6</c:v>
                </c:pt>
                <c:pt idx="193">
                  <c:v>2.3891921087389804E-6</c:v>
                </c:pt>
                <c:pt idx="194">
                  <c:v>2.3065554834473228E-6</c:v>
                </c:pt>
                <c:pt idx="195">
                  <c:v>2.2267770677632601E-6</c:v>
                </c:pt>
                <c:pt idx="196">
                  <c:v>2.1497580028317538E-6</c:v>
                </c:pt>
                <c:pt idx="197">
                  <c:v>2.0754028490967474E-6</c:v>
                </c:pt>
                <c:pt idx="198">
                  <c:v>2.0036194680355348E-6</c:v>
                </c:pt>
                <c:pt idx="199">
                  <c:v>1.9343189079836631E-6</c:v>
                </c:pt>
                <c:pt idx="200">
                  <c:v>1.8674152939088676E-6</c:v>
                </c:pt>
                <c:pt idx="201">
                  <c:v>1.8028257209975008E-6</c:v>
                </c:pt>
                <c:pt idx="202">
                  <c:v>1.7404701519215315E-6</c:v>
                </c:pt>
                <c:pt idx="203">
                  <c:v>1.680271317658861E-6</c:v>
                </c:pt>
                <c:pt idx="204">
                  <c:v>1.6221546217440305E-6</c:v>
                </c:pt>
                <c:pt idx="205">
                  <c:v>1.5660480478306651E-6</c:v>
                </c:pt>
                <c:pt idx="206">
                  <c:v>1.5118820704511304E-6</c:v>
                </c:pt>
                <c:pt idx="207">
                  <c:v>1.4595895688628056E-6</c:v>
                </c:pt>
                <c:pt idx="208">
                  <c:v>1.409105743874203E-6</c:v>
                </c:pt>
                <c:pt idx="209">
                  <c:v>1.3603680375478928E-6</c:v>
                </c:pt>
                <c:pt idx="210">
                  <c:v>1.3133160556807137E-6</c:v>
                </c:pt>
                <c:pt idx="211">
                  <c:v>1.2678914929652068E-6</c:v>
                </c:pt>
                <c:pt idx="212">
                  <c:v>1.2240380607395551E-6</c:v>
                </c:pt>
                <c:pt idx="213">
                  <c:v>1.1817014172364715E-6</c:v>
                </c:pt>
                <c:pt idx="214">
                  <c:v>1.1408291002446266E-6</c:v>
                </c:pt>
                <c:pt idx="215">
                  <c:v>1.1013704620991604E-6</c:v>
                </c:pt>
                <c:pt idx="216">
                  <c:v>1.0632766069207143E-6</c:v>
                </c:pt>
                <c:pt idx="217">
                  <c:v>1.0265003300252284E-6</c:v>
                </c:pt>
                <c:pt idx="218">
                  <c:v>9.9099605942941173E-7</c:v>
                </c:pt>
                <c:pt idx="219">
                  <c:v>9.567197993793973E-7</c:v>
                </c:pt>
                <c:pt idx="220">
                  <c:v>9.2362907583261915E-7</c:v>
                </c:pt>
                <c:pt idx="221">
                  <c:v>8.9168288382533612E-7</c:v>
                </c:pt>
                <c:pt idx="222">
                  <c:v>8.6084163666059785E-7</c:v>
                </c:pt>
                <c:pt idx="223">
                  <c:v>8.3106711685368037E-7</c:v>
                </c:pt>
                <c:pt idx="224">
                  <c:v>8.0232242877420068E-7</c:v>
                </c:pt>
                <c:pt idx="225">
                  <c:v>7.7457195292623621E-7</c:v>
                </c:pt>
                <c:pt idx="226">
                  <c:v>7.4778130180978975E-7</c:v>
                </c:pt>
                <c:pt idx="227">
                  <c:v>7.2191727730889716E-7</c:v>
                </c:pt>
                <c:pt idx="228">
                  <c:v>6.9694782955358973E-7</c:v>
                </c:pt>
                <c:pt idx="229">
                  <c:v>6.728420172047233E-7</c:v>
                </c:pt>
                <c:pt idx="230">
                  <c:v>6.4956996911245919E-7</c:v>
                </c:pt>
                <c:pt idx="231">
                  <c:v>6.2710284730089771E-7</c:v>
                </c:pt>
                <c:pt idx="232">
                  <c:v>6.0541281123297858E-7</c:v>
                </c:pt>
                <c:pt idx="233">
                  <c:v>5.8447298331138214E-7</c:v>
                </c:pt>
                <c:pt idx="234">
                  <c:v>5.6425741557267383E-7</c:v>
                </c:pt>
                <c:pt idx="235">
                  <c:v>5.4474105753341637E-7</c:v>
                </c:pt>
                <c:pt idx="236">
                  <c:v>5.2589972514841571E-7</c:v>
                </c:pt>
                <c:pt idx="237">
                  <c:v>5.0771007084262904E-7</c:v>
                </c:pt>
                <c:pt idx="238">
                  <c:v>4.9014955457959495E-7</c:v>
                </c:pt>
                <c:pt idx="239">
                  <c:v>4.7319641593054494E-7</c:v>
                </c:pt>
                <c:pt idx="240">
                  <c:v>4.5682964710957857E-7</c:v>
                </c:pt>
                <c:pt idx="241">
                  <c:v>4.4102896694148589E-7</c:v>
                </c:pt>
                <c:pt idx="242">
                  <c:v>4.257747957299685E-7</c:v>
                </c:pt>
                <c:pt idx="243">
                  <c:v>4.1104823099510495E-7</c:v>
                </c:pt>
                <c:pt idx="244">
                  <c:v>3.9683102405000485E-7</c:v>
                </c:pt>
                <c:pt idx="245">
                  <c:v>3.8310555738762189E-7</c:v>
                </c:pt>
                <c:pt idx="246">
                  <c:v>3.6985482284970223E-7</c:v>
                </c:pt>
                <c:pt idx="247">
                  <c:v>3.5706240055082073E-7</c:v>
                </c:pt>
                <c:pt idx="248">
                  <c:v>3.4471243853138662E-7</c:v>
                </c:pt>
                <c:pt idx="249">
                  <c:v>3.3278963311440085E-7</c:v>
                </c:pt>
                <c:pt idx="250">
                  <c:v>3.212792099416331E-7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62-4D30-AB2A-D2B7D0CB20F6}"/>
            </c:ext>
          </c:extLst>
        </c:ser>
        <c:ser>
          <c:idx val="4"/>
          <c:order val="4"/>
          <c:tx>
            <c:strRef>
              <c:f>CALCULATIONS!$F$7</c:f>
              <c:strCache>
                <c:ptCount val="1"/>
                <c:pt idx="0">
                  <c:v>a (/m)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CALCULATIONS!$F$8:$F$258</c:f>
              <c:numCache>
                <c:formatCode>0.0000</c:formatCode>
                <c:ptCount val="251"/>
                <c:pt idx="0">
                  <c:v>9.5909719435488747E-3</c:v>
                </c:pt>
                <c:pt idx="1">
                  <c:v>9.6250948059768207E-3</c:v>
                </c:pt>
                <c:pt idx="2">
                  <c:v>9.7749680276860134E-3</c:v>
                </c:pt>
                <c:pt idx="3">
                  <c:v>9.9219230172181185E-3</c:v>
                </c:pt>
                <c:pt idx="4">
                  <c:v>1.0085075082229219E-2</c:v>
                </c:pt>
                <c:pt idx="5">
                  <c:v>1.0254979037360215E-2</c:v>
                </c:pt>
                <c:pt idx="6">
                  <c:v>1.0431558053759941E-2</c:v>
                </c:pt>
                <c:pt idx="7">
                  <c:v>1.0723560828153454E-2</c:v>
                </c:pt>
                <c:pt idx="8">
                  <c:v>1.0898167630318856E-2</c:v>
                </c:pt>
                <c:pt idx="9">
                  <c:v>1.1074350476312623E-2</c:v>
                </c:pt>
                <c:pt idx="10">
                  <c:v>1.1353811179244045E-2</c:v>
                </c:pt>
                <c:pt idx="11">
                  <c:v>1.1647239548245095E-2</c:v>
                </c:pt>
                <c:pt idx="12">
                  <c:v>1.1845101093056323E-2</c:v>
                </c:pt>
                <c:pt idx="13">
                  <c:v>1.2135476374805089E-2</c:v>
                </c:pt>
                <c:pt idx="14">
                  <c:v>1.2313981214076522E-2</c:v>
                </c:pt>
                <c:pt idx="15">
                  <c:v>1.2577213458146518E-2</c:v>
                </c:pt>
                <c:pt idx="16">
                  <c:v>1.2774140701632016E-2</c:v>
                </c:pt>
                <c:pt idx="17">
                  <c:v>1.3085922754244981E-2</c:v>
                </c:pt>
                <c:pt idx="18">
                  <c:v>1.3285037243165062E-2</c:v>
                </c:pt>
                <c:pt idx="19">
                  <c:v>1.3577878099592126E-2</c:v>
                </c:pt>
                <c:pt idx="20">
                  <c:v>1.3738740201012838E-2</c:v>
                </c:pt>
                <c:pt idx="21">
                  <c:v>1.3929025262128194E-2</c:v>
                </c:pt>
                <c:pt idx="22">
                  <c:v>1.4124251916691723E-2</c:v>
                </c:pt>
                <c:pt idx="23">
                  <c:v>1.4307975536330852E-2</c:v>
                </c:pt>
                <c:pt idx="24">
                  <c:v>1.4469333560413139E-2</c:v>
                </c:pt>
                <c:pt idx="25">
                  <c:v>1.4598352704016925E-2</c:v>
                </c:pt>
                <c:pt idx="26">
                  <c:v>1.4753814861599412E-2</c:v>
                </c:pt>
                <c:pt idx="27">
                  <c:v>1.4913551534789262E-2</c:v>
                </c:pt>
                <c:pt idx="28">
                  <c:v>1.5063584660259623E-2</c:v>
                </c:pt>
                <c:pt idx="29">
                  <c:v>1.5220101026492358E-2</c:v>
                </c:pt>
                <c:pt idx="30">
                  <c:v>1.5353661180751651E-2</c:v>
                </c:pt>
                <c:pt idx="31">
                  <c:v>1.5512424974741106E-2</c:v>
                </c:pt>
                <c:pt idx="32">
                  <c:v>1.5675323809088475E-2</c:v>
                </c:pt>
                <c:pt idx="33">
                  <c:v>1.583046834265019E-2</c:v>
                </c:pt>
                <c:pt idx="34">
                  <c:v>1.6078005872472545E-2</c:v>
                </c:pt>
                <c:pt idx="35">
                  <c:v>1.622364988618832E-2</c:v>
                </c:pt>
                <c:pt idx="36">
                  <c:v>1.6481499915276948E-2</c:v>
                </c:pt>
                <c:pt idx="37">
                  <c:v>1.6747758313192911E-2</c:v>
                </c:pt>
                <c:pt idx="38">
                  <c:v>1.7011577645234838E-2</c:v>
                </c:pt>
                <c:pt idx="39">
                  <c:v>1.7359431787266184E-2</c:v>
                </c:pt>
                <c:pt idx="40">
                  <c:v>1.768982661562395E-2</c:v>
                </c:pt>
                <c:pt idx="41">
                  <c:v>1.8137094341456095E-2</c:v>
                </c:pt>
                <c:pt idx="42">
                  <c:v>1.8571901854678358E-2</c:v>
                </c:pt>
                <c:pt idx="43">
                  <c:v>1.8998738385507034E-2</c:v>
                </c:pt>
                <c:pt idx="44">
                  <c:v>1.9614835495705186E-2</c:v>
                </c:pt>
                <c:pt idx="45">
                  <c:v>2.0211876661266153E-2</c:v>
                </c:pt>
                <c:pt idx="46">
                  <c:v>2.0922214247837183E-2</c:v>
                </c:pt>
                <c:pt idx="47">
                  <c:v>2.1713621590613904E-2</c:v>
                </c:pt>
                <c:pt idx="48">
                  <c:v>2.2704372963737729E-2</c:v>
                </c:pt>
                <c:pt idx="49">
                  <c:v>2.3995445377777726E-2</c:v>
                </c:pt>
                <c:pt idx="50">
                  <c:v>2.5378700851092693E-2</c:v>
                </c:pt>
                <c:pt idx="51">
                  <c:v>2.697380062613218E-2</c:v>
                </c:pt>
                <c:pt idx="52">
                  <c:v>2.8667432087495288E-2</c:v>
                </c:pt>
                <c:pt idx="53">
                  <c:v>3.0368502669192925E-2</c:v>
                </c:pt>
                <c:pt idx="54">
                  <c:v>3.2173456617282332E-2</c:v>
                </c:pt>
                <c:pt idx="55">
                  <c:v>3.3983398807029705E-2</c:v>
                </c:pt>
                <c:pt idx="56">
                  <c:v>3.5910621137832235E-2</c:v>
                </c:pt>
                <c:pt idx="57">
                  <c:v>3.7743321827705151E-2</c:v>
                </c:pt>
                <c:pt idx="58">
                  <c:v>3.9481397551589963E-2</c:v>
                </c:pt>
                <c:pt idx="59">
                  <c:v>4.1223839041811643E-2</c:v>
                </c:pt>
                <c:pt idx="60">
                  <c:v>4.1669563657475144E-2</c:v>
                </c:pt>
                <c:pt idx="61">
                  <c:v>4.2323819498171052E-2</c:v>
                </c:pt>
                <c:pt idx="62">
                  <c:v>4.1582337610109432E-2</c:v>
                </c:pt>
                <c:pt idx="63">
                  <c:v>4.3345448632694239E-2</c:v>
                </c:pt>
                <c:pt idx="64">
                  <c:v>4.2910687150667162E-2</c:v>
                </c:pt>
                <c:pt idx="65">
                  <c:v>4.347881000263587E-2</c:v>
                </c:pt>
                <c:pt idx="66">
                  <c:v>4.5050679318624977E-2</c:v>
                </c:pt>
                <c:pt idx="67">
                  <c:v>4.6122262299529822E-2</c:v>
                </c:pt>
                <c:pt idx="68">
                  <c:v>4.7497021203925481E-2</c:v>
                </c:pt>
                <c:pt idx="69">
                  <c:v>4.8473801731812934E-2</c:v>
                </c:pt>
                <c:pt idx="70">
                  <c:v>4.9952533019343853E-2</c:v>
                </c:pt>
                <c:pt idx="71">
                  <c:v>5.0731469128079978E-2</c:v>
                </c:pt>
                <c:pt idx="72">
                  <c:v>5.311338117753997E-2</c:v>
                </c:pt>
                <c:pt idx="73">
                  <c:v>5.4795241291352617E-2</c:v>
                </c:pt>
                <c:pt idx="74">
                  <c:v>5.6779156403389333E-2</c:v>
                </c:pt>
                <c:pt idx="75">
                  <c:v>5.9163701983442757E-2</c:v>
                </c:pt>
                <c:pt idx="76">
                  <c:v>6.1447194152878248E-2</c:v>
                </c:pt>
                <c:pt idx="77">
                  <c:v>6.3431420561569654E-2</c:v>
                </c:pt>
                <c:pt idx="78">
                  <c:v>6.4915993870613267E-2</c:v>
                </c:pt>
                <c:pt idx="79">
                  <c:v>6.610174545565263E-2</c:v>
                </c:pt>
                <c:pt idx="80">
                  <c:v>6.7491524663868221E-2</c:v>
                </c:pt>
                <c:pt idx="81">
                  <c:v>6.8880649366998781E-2</c:v>
                </c:pt>
                <c:pt idx="82">
                  <c:v>7.0171131172626897E-2</c:v>
                </c:pt>
                <c:pt idx="83">
                  <c:v>7.2061885573687728E-2</c:v>
                </c:pt>
                <c:pt idx="84">
                  <c:v>7.3654688541392288E-2</c:v>
                </c:pt>
                <c:pt idx="85">
                  <c:v>7.6147180314033336E-2</c:v>
                </c:pt>
                <c:pt idx="86">
                  <c:v>7.8942910710706207E-2</c:v>
                </c:pt>
                <c:pt idx="87">
                  <c:v>8.2138040546647875E-2</c:v>
                </c:pt>
                <c:pt idx="88">
                  <c:v>8.6033653610873159E-2</c:v>
                </c:pt>
                <c:pt idx="89">
                  <c:v>8.9829996153169708E-2</c:v>
                </c:pt>
                <c:pt idx="90">
                  <c:v>9.5428001765532094E-2</c:v>
                </c:pt>
                <c:pt idx="91">
                  <c:v>0.10022570430753701</c:v>
                </c:pt>
                <c:pt idx="92">
                  <c:v>0.10812522496791253</c:v>
                </c:pt>
                <c:pt idx="93">
                  <c:v>0.11612251429025626</c:v>
                </c:pt>
                <c:pt idx="94">
                  <c:v>0.12552236764779129</c:v>
                </c:pt>
                <c:pt idx="95">
                  <c:v>0.13582083308446552</c:v>
                </c:pt>
                <c:pt idx="96">
                  <c:v>0.14612099093214651</c:v>
                </c:pt>
                <c:pt idx="97">
                  <c:v>0.15691809699078429</c:v>
                </c:pt>
                <c:pt idx="98">
                  <c:v>0.17021607287814414</c:v>
                </c:pt>
                <c:pt idx="99">
                  <c:v>0.18621146059897323</c:v>
                </c:pt>
                <c:pt idx="100">
                  <c:v>0.22260502346108579</c:v>
                </c:pt>
                <c:pt idx="101">
                  <c:v>0.23679989123837761</c:v>
                </c:pt>
                <c:pt idx="102">
                  <c:v>0.24499711865699525</c:v>
                </c:pt>
                <c:pt idx="103">
                  <c:v>0.25889221803302981</c:v>
                </c:pt>
                <c:pt idx="104">
                  <c:v>0.26548814528217496</c:v>
                </c:pt>
                <c:pt idx="105">
                  <c:v>0.26928451847060791</c:v>
                </c:pt>
                <c:pt idx="106">
                  <c:v>0.27168343456628602</c:v>
                </c:pt>
                <c:pt idx="107">
                  <c:v>0.27418066448923051</c:v>
                </c:pt>
                <c:pt idx="108">
                  <c:v>0.27657930047112733</c:v>
                </c:pt>
                <c:pt idx="109">
                  <c:v>0.27867819270674721</c:v>
                </c:pt>
                <c:pt idx="110">
                  <c:v>0.28117813098382788</c:v>
                </c:pt>
                <c:pt idx="111">
                  <c:v>0.28407845722266867</c:v>
                </c:pt>
                <c:pt idx="112">
                  <c:v>0.28697851614596437</c:v>
                </c:pt>
                <c:pt idx="113">
                  <c:v>0.28947870914588986</c:v>
                </c:pt>
                <c:pt idx="114">
                  <c:v>0.29237858289248292</c:v>
                </c:pt>
                <c:pt idx="115">
                  <c:v>0.29567999652795673</c:v>
                </c:pt>
                <c:pt idx="116">
                  <c:v>0.29898154253695719</c:v>
                </c:pt>
                <c:pt idx="117">
                  <c:v>0.30128275958918782</c:v>
                </c:pt>
                <c:pt idx="118">
                  <c:v>0.30398413451133216</c:v>
                </c:pt>
                <c:pt idx="119">
                  <c:v>0.30778620331656936</c:v>
                </c:pt>
                <c:pt idx="120">
                  <c:v>0.31128846723515496</c:v>
                </c:pt>
                <c:pt idx="121">
                  <c:v>0.31459208802316474</c:v>
                </c:pt>
                <c:pt idx="122">
                  <c:v>0.31829661441384338</c:v>
                </c:pt>
                <c:pt idx="123">
                  <c:v>0.32250022177764304</c:v>
                </c:pt>
                <c:pt idx="124">
                  <c:v>0.32650276505766179</c:v>
                </c:pt>
                <c:pt idx="125">
                  <c:v>0.33170522609369779</c:v>
                </c:pt>
                <c:pt idx="126">
                  <c:v>0.33640777472935934</c:v>
                </c:pt>
                <c:pt idx="127">
                  <c:v>0.34251252488902717</c:v>
                </c:pt>
                <c:pt idx="128">
                  <c:v>0.35102001679059147</c:v>
                </c:pt>
                <c:pt idx="129">
                  <c:v>0.36383258962395804</c:v>
                </c:pt>
                <c:pt idx="130">
                  <c:v>0.37935113387569036</c:v>
                </c:pt>
                <c:pt idx="131">
                  <c:v>0.39337831275520624</c:v>
                </c:pt>
                <c:pt idx="132">
                  <c:v>0.40221075456000505</c:v>
                </c:pt>
                <c:pt idx="133">
                  <c:v>0.40754871327249775</c:v>
                </c:pt>
                <c:pt idx="134">
                  <c:v>0.41018484526893839</c:v>
                </c:pt>
                <c:pt idx="135">
                  <c:v>0.412618905574199</c:v>
                </c:pt>
                <c:pt idx="136">
                  <c:v>0.41544082121640796</c:v>
                </c:pt>
                <c:pt idx="137">
                  <c:v>0.41775526270953423</c:v>
                </c:pt>
                <c:pt idx="138">
                  <c:v>0.42275584082643197</c:v>
                </c:pt>
                <c:pt idx="139">
                  <c:v>0.42743829880767503</c:v>
                </c:pt>
                <c:pt idx="140">
                  <c:v>0.43220925146493216</c:v>
                </c:pt>
                <c:pt idx="141">
                  <c:v>0.43846475832408555</c:v>
                </c:pt>
                <c:pt idx="142">
                  <c:v>0.44610929789917264</c:v>
                </c:pt>
                <c:pt idx="143">
                  <c:v>0.4547540210815556</c:v>
                </c:pt>
                <c:pt idx="144">
                  <c:v>0.4648005009729021</c:v>
                </c:pt>
                <c:pt idx="145">
                  <c:v>0.47615592526410166</c:v>
                </c:pt>
                <c:pt idx="146">
                  <c:v>0.49042204796730815</c:v>
                </c:pt>
                <c:pt idx="147">
                  <c:v>0.50719629238708464</c:v>
                </c:pt>
                <c:pt idx="148">
                  <c:v>0.52447704444268206</c:v>
                </c:pt>
                <c:pt idx="149">
                  <c:v>0.54706249406425334</c:v>
                </c:pt>
                <c:pt idx="150">
                  <c:v>0.57225388166622526</c:v>
                </c:pt>
                <c:pt idx="151">
                  <c:v>0.59955308402240015</c:v>
                </c:pt>
                <c:pt idx="152">
                  <c:v>0.63035230962350397</c:v>
                </c:pt>
                <c:pt idx="153">
                  <c:v>0.66285155777110061</c:v>
                </c:pt>
                <c:pt idx="154">
                  <c:v>0.6993508277883459</c:v>
                </c:pt>
                <c:pt idx="155">
                  <c:v>0.74155011901930412</c:v>
                </c:pt>
                <c:pt idx="156">
                  <c:v>0.78934943082828501</c:v>
                </c:pt>
                <c:pt idx="157">
                  <c:v>0.84454876259920209</c:v>
                </c:pt>
                <c:pt idx="158">
                  <c:v>0.91094811373495466</c:v>
                </c:pt>
                <c:pt idx="159">
                  <c:v>0.98714748365682514</c:v>
                </c:pt>
                <c:pt idx="160">
                  <c:v>1.0724468718039004</c:v>
                </c:pt>
                <c:pt idx="161">
                  <c:v>1.1679462776325082</c:v>
                </c:pt>
                <c:pt idx="162">
                  <c:v>1.2684457006156746</c:v>
                </c:pt>
                <c:pt idx="163">
                  <c:v>1.3719451402425962</c:v>
                </c:pt>
                <c:pt idx="164">
                  <c:v>1.4870445960181315</c:v>
                </c:pt>
                <c:pt idx="165">
                  <c:v>1.6211440674623097</c:v>
                </c:pt>
                <c:pt idx="166">
                  <c:v>1.7872435541098493</c:v>
                </c:pt>
                <c:pt idx="167">
                  <c:v>1.9917430555097011</c:v>
                </c:pt>
                <c:pt idx="168">
                  <c:v>2.2074425712245973</c:v>
                </c:pt>
                <c:pt idx="169">
                  <c:v>2.3942421008306223</c:v>
                </c:pt>
                <c:pt idx="170">
                  <c:v>2.5319416439167912</c:v>
                </c:pt>
                <c:pt idx="171">
                  <c:v>2.6231412000846461</c:v>
                </c:pt>
                <c:pt idx="172">
                  <c:v>2.6723407689478642</c:v>
                </c:pt>
                <c:pt idx="173">
                  <c:v>2.7021403501318773</c:v>
                </c:pt>
                <c:pt idx="174">
                  <c:v>2.7216399432735034</c:v>
                </c:pt>
                <c:pt idx="175">
                  <c:v>2.7334395480205935</c:v>
                </c:pt>
                <c:pt idx="176">
                  <c:v>2.7413391640316842</c:v>
                </c:pt>
                <c:pt idx="177">
                  <c:v>2.7478387909756674</c:v>
                </c:pt>
                <c:pt idx="178">
                  <c:v>2.7542384285314658</c:v>
                </c:pt>
                <c:pt idx="179">
                  <c:v>2.7628380763877192</c:v>
                </c:pt>
                <c:pt idx="180">
                  <c:v>2.7710377342424852</c:v>
                </c:pt>
                <c:pt idx="181">
                  <c:v>2.7733374018029449</c:v>
                </c:pt>
                <c:pt idx="182">
                  <c:v>2.7742370787851187</c:v>
                </c:pt>
                <c:pt idx="183">
                  <c:v>2.7701367649135911</c:v>
                </c:pt>
                <c:pt idx="184">
                  <c:v>2.7610364599212498</c:v>
                </c:pt>
                <c:pt idx="185">
                  <c:v>2.7542361635490207</c:v>
                </c:pt>
                <c:pt idx="186">
                  <c:v>2.7482358755456269</c:v>
                </c:pt>
                <c:pt idx="187">
                  <c:v>2.7305355956673418</c:v>
                </c:pt>
                <c:pt idx="188">
                  <c:v>2.7097353236777564</c:v>
                </c:pt>
                <c:pt idx="189">
                  <c:v>2.6896350593475575</c:v>
                </c:pt>
                <c:pt idx="190">
                  <c:v>2.6590348024543018</c:v>
                </c:pt>
                <c:pt idx="191">
                  <c:v>2.6332345527822101</c:v>
                </c:pt>
                <c:pt idx="192">
                  <c:v>2.6062343101219572</c:v>
                </c:pt>
                <c:pt idx="193">
                  <c:v>2.5702340742704779</c:v>
                </c:pt>
                <c:pt idx="194">
                  <c:v>2.5335338450307705</c:v>
                </c:pt>
                <c:pt idx="195">
                  <c:v>2.4924336222117098</c:v>
                </c:pt>
                <c:pt idx="196">
                  <c:v>2.4481334056278716</c:v>
                </c:pt>
                <c:pt idx="197">
                  <c:v>2.4083331950993534</c:v>
                </c:pt>
                <c:pt idx="198">
                  <c:v>2.3742329904516044</c:v>
                </c:pt>
                <c:pt idx="199">
                  <c:v>2.3332327915152651</c:v>
                </c:pt>
                <c:pt idx="200">
                  <c:v>2.2932325981260071</c:v>
                </c:pt>
                <c:pt idx="201">
                  <c:v>2.2281924101243766</c:v>
                </c:pt>
                <c:pt idx="202">
                  <c:v>2.2101522273556489</c:v>
                </c:pt>
                <c:pt idx="203">
                  <c:v>2.198412049669682</c:v>
                </c:pt>
                <c:pt idx="204">
                  <c:v>2.1929718769207773</c:v>
                </c:pt>
                <c:pt idx="205">
                  <c:v>2.1875317089675441</c:v>
                </c:pt>
                <c:pt idx="206">
                  <c:v>2.2017315456727689</c:v>
                </c:pt>
                <c:pt idx="207">
                  <c:v>2.2159313869032866</c:v>
                </c:pt>
                <c:pt idx="208">
                  <c:v>2.24431123252986</c:v>
                </c:pt>
                <c:pt idx="209">
                  <c:v>2.2868710824270564</c:v>
                </c:pt>
                <c:pt idx="210">
                  <c:v>2.3294309364731385</c:v>
                </c:pt>
                <c:pt idx="211">
                  <c:v>2.4456307945499449</c:v>
                </c:pt>
                <c:pt idx="212">
                  <c:v>2.5618306565427877</c:v>
                </c:pt>
                <c:pt idx="213">
                  <c:v>2.7174505223403447</c:v>
                </c:pt>
                <c:pt idx="214">
                  <c:v>2.9124903918345555</c:v>
                </c:pt>
                <c:pt idx="215">
                  <c:v>3.1075302649205292</c:v>
                </c:pt>
                <c:pt idx="216">
                  <c:v>3.345410141496441</c:v>
                </c:pt>
                <c:pt idx="217">
                  <c:v>3.5832900214634469</c:v>
                </c:pt>
                <c:pt idx="218">
                  <c:v>3.7516699047255875</c:v>
                </c:pt>
                <c:pt idx="219">
                  <c:v>3.8505497911897058</c:v>
                </c:pt>
                <c:pt idx="220">
                  <c:v>3.9494296807653599</c:v>
                </c:pt>
                <c:pt idx="221">
                  <c:v>3.999589573364744</c:v>
                </c:pt>
                <c:pt idx="222">
                  <c:v>4.0497494689026068</c:v>
                </c:pt>
                <c:pt idx="223">
                  <c:v>4.0995893672961756</c:v>
                </c:pt>
                <c:pt idx="224">
                  <c:v>4.1491092684650841</c:v>
                </c:pt>
                <c:pt idx="225">
                  <c:v>4.1986291723312963</c:v>
                </c:pt>
                <c:pt idx="226">
                  <c:v>4.2417490788190397</c:v>
                </c:pt>
                <c:pt idx="227">
                  <c:v>4.284868987854737</c:v>
                </c:pt>
                <c:pt idx="228">
                  <c:v>4.3316688993669414</c:v>
                </c:pt>
                <c:pt idx="229">
                  <c:v>4.3821488132862694</c:v>
                </c:pt>
                <c:pt idx="230">
                  <c:v>4.4326287295453435</c:v>
                </c:pt>
                <c:pt idx="231">
                  <c:v>4.5016686480787298</c:v>
                </c:pt>
                <c:pt idx="232">
                  <c:v>4.5707085688228846</c:v>
                </c:pt>
                <c:pt idx="233">
                  <c:v>4.6346084917160884</c:v>
                </c:pt>
                <c:pt idx="234">
                  <c:v>4.6933684166984051</c:v>
                </c:pt>
                <c:pt idx="235">
                  <c:v>4.7521283437116155</c:v>
                </c:pt>
                <c:pt idx="236">
                  <c:v>4.8354482726991774</c:v>
                </c:pt>
                <c:pt idx="237">
                  <c:v>4.9187682036061675</c:v>
                </c:pt>
                <c:pt idx="238">
                  <c:v>5.0279281363792441</c:v>
                </c:pt>
                <c:pt idx="239">
                  <c:v>5.1629280709665855</c:v>
                </c:pt>
                <c:pt idx="240">
                  <c:v>5.2979280073178563</c:v>
                </c:pt>
                <c:pt idx="241">
                  <c:v>5.4052079453841619</c:v>
                </c:pt>
                <c:pt idx="242">
                  <c:v>5.5124878851180039</c:v>
                </c:pt>
                <c:pt idx="243">
                  <c:v>5.6191878264732402</c:v>
                </c:pt>
                <c:pt idx="244">
                  <c:v>5.72530776940504</c:v>
                </c:pt>
                <c:pt idx="245">
                  <c:v>5.8314277138698545</c:v>
                </c:pt>
                <c:pt idx="246">
                  <c:v>5.9363076598253732</c:v>
                </c:pt>
                <c:pt idx="247">
                  <c:v>6.0411876072304871</c:v>
                </c:pt>
                <c:pt idx="248">
                  <c:v>6.1469275560452568</c:v>
                </c:pt>
                <c:pt idx="249">
                  <c:v>6.2535275062308751</c:v>
                </c:pt>
                <c:pt idx="250">
                  <c:v>6.3601274577496367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62-4D30-AB2A-D2B7D0CB2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7344"/>
        <c:axId val="45483520"/>
      </c:scatterChart>
      <c:valAx>
        <c:axId val="67497344"/>
        <c:scaling>
          <c:orientation val="minMax"/>
          <c:max val="90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2307692307692307"/>
              <c:y val="0.73248407643312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483520"/>
        <c:crossesAt val="0"/>
        <c:crossBetween val="midCat"/>
        <c:majorUnit val="50"/>
        <c:minorUnit val="10"/>
      </c:valAx>
      <c:valAx>
        <c:axId val="4548352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Absorption (/m)</a:t>
                </a:r>
              </a:p>
            </c:rich>
          </c:tx>
          <c:layout>
            <c:manualLayout>
              <c:xMode val="edge"/>
              <c:yMode val="edge"/>
              <c:x val="4.7337278106508875E-2"/>
              <c:y val="0.219745222929936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497344"/>
        <c:crosses val="autoZero"/>
        <c:crossBetween val="midCat"/>
        <c:majorUnit val="1"/>
        <c:minorUnit val="0.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7337278106508875E-2"/>
          <c:y val="0.84076433121019112"/>
          <c:w val="0.90236686390532539"/>
          <c:h val="0.136942675159235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200" verticalDpi="20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126202744353955"/>
          <c:y val="8.1699607139779737E-2"/>
          <c:w val="0.66366560994278445"/>
          <c:h val="0.54902135997931978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CALCULATIONS!$G$7</c:f>
              <c:strCache>
                <c:ptCount val="1"/>
                <c:pt idx="0">
                  <c:v>bbw (/m)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CALCULATIONS!$G$8:$G$258</c:f>
              <c:numCache>
                <c:formatCode>0.0000</c:formatCode>
                <c:ptCount val="251"/>
                <c:pt idx="0">
                  <c:v>3.7758414376934651E-3</c:v>
                </c:pt>
                <c:pt idx="1">
                  <c:v>3.6953566642934622E-3</c:v>
                </c:pt>
                <c:pt idx="2">
                  <c:v>3.6169742217677585E-3</c:v>
                </c:pt>
                <c:pt idx="3">
                  <c:v>3.5406291923080445E-3</c:v>
                </c:pt>
                <c:pt idx="4">
                  <c:v>3.4662589685797419E-3</c:v>
                </c:pt>
                <c:pt idx="5">
                  <c:v>3.3938031607095259E-3</c:v>
                </c:pt>
                <c:pt idx="6">
                  <c:v>3.3232035074470807E-3</c:v>
                </c:pt>
                <c:pt idx="7">
                  <c:v>3.2544037912946226E-3</c:v>
                </c:pt>
                <c:pt idx="8">
                  <c:v>3.1873497574089094E-3</c:v>
                </c:pt>
                <c:pt idx="9">
                  <c:v>3.121989036090957E-3</c:v>
                </c:pt>
                <c:pt idx="10">
                  <c:v>3.0582710686885223E-3</c:v>
                </c:pt>
                <c:pt idx="11">
                  <c:v>2.9961470367457703E-3</c:v>
                </c:pt>
                <c:pt idx="12">
                  <c:v>2.9355697942432773E-3</c:v>
                </c:pt>
                <c:pt idx="13">
                  <c:v>2.8764938027798243E-3</c:v>
                </c:pt>
                <c:pt idx="14">
                  <c:v>2.818875069555206E-3</c:v>
                </c:pt>
                <c:pt idx="15">
                  <c:v>2.7626710880206467E-3</c:v>
                </c:pt>
                <c:pt idx="16">
                  <c:v>2.7078407810703603E-3</c:v>
                </c:pt>
                <c:pt idx="17">
                  <c:v>2.6543444466543193E-3</c:v>
                </c:pt>
                <c:pt idx="18">
                  <c:v>2.6021437056984909E-3</c:v>
                </c:pt>
                <c:pt idx="19">
                  <c:v>2.5512014522246318E-3</c:v>
                </c:pt>
                <c:pt idx="20">
                  <c:v>2.5014818055672386E-3</c:v>
                </c:pt>
                <c:pt idx="21">
                  <c:v>2.452950064590466E-3</c:v>
                </c:pt>
                <c:pt idx="22">
                  <c:v>2.4055726638127278E-3</c:v>
                </c:pt>
                <c:pt idx="23">
                  <c:v>2.3593171313513604E-3</c:v>
                </c:pt>
                <c:pt idx="24">
                  <c:v>2.3141520486041219E-3</c:v>
                </c:pt>
                <c:pt idx="25">
                  <c:v>2.2700470115884423E-3</c:v>
                </c:pt>
                <c:pt idx="26">
                  <c:v>2.2269725938632891E-3</c:v>
                </c:pt>
                <c:pt idx="27">
                  <c:v>2.1849003109622269E-3</c:v>
                </c:pt>
                <c:pt idx="28">
                  <c:v>2.1438025862697625E-3</c:v>
                </c:pt>
                <c:pt idx="29">
                  <c:v>2.1036527182764081E-3</c:v>
                </c:pt>
                <c:pt idx="30">
                  <c:v>2.0644248491510468E-3</c:v>
                </c:pt>
                <c:pt idx="31">
                  <c:v>2.0260939345721745E-3</c:v>
                </c:pt>
                <c:pt idx="32">
                  <c:v>1.9886357147624154E-3</c:v>
                </c:pt>
                <c:pt idx="33">
                  <c:v>1.952026686673406E-3</c:v>
                </c:pt>
                <c:pt idx="34">
                  <c:v>1.91624407727066E-3</c:v>
                </c:pt>
                <c:pt idx="35">
                  <c:v>1.8812658178704654E-3</c:v>
                </c:pt>
                <c:pt idx="36">
                  <c:v>1.847070519483117E-3</c:v>
                </c:pt>
                <c:pt idx="37">
                  <c:v>1.8136374491189915E-3</c:v>
                </c:pt>
                <c:pt idx="38">
                  <c:v>1.7809465070159848E-3</c:v>
                </c:pt>
                <c:pt idx="39">
                  <c:v>1.7489782047488203E-3</c:v>
                </c:pt>
                <c:pt idx="40">
                  <c:v>1.7177136441825626E-3</c:v>
                </c:pt>
                <c:pt idx="41">
                  <c:v>1.6871344972344362E-3</c:v>
                </c:pt>
                <c:pt idx="42">
                  <c:v>1.657222986409719E-3</c:v>
                </c:pt>
                <c:pt idx="43">
                  <c:v>1.6279618660790575E-3</c:v>
                </c:pt>
                <c:pt idx="44">
                  <c:v>1.5993344044660631E-3</c:v>
                </c:pt>
                <c:pt idx="45">
                  <c:v>1.5713243663154667E-3</c:v>
                </c:pt>
                <c:pt idx="46">
                  <c:v>1.5439159962134831E-3</c:v>
                </c:pt>
                <c:pt idx="47">
                  <c:v>1.51709400253331E-3</c:v>
                </c:pt>
                <c:pt idx="48">
                  <c:v>1.4908435419799292E-3</c:v>
                </c:pt>
                <c:pt idx="49">
                  <c:v>1.4651502047095301E-3</c:v>
                </c:pt>
                <c:pt idx="50">
                  <c:v>1.4400000000000001E-3</c:v>
                </c:pt>
                <c:pt idx="51">
                  <c:v>1.4153793424499695E-3</c:v>
                </c:pt>
                <c:pt idx="52">
                  <c:v>1.3912750386849092E-3</c:v>
                </c:pt>
                <c:pt idx="53">
                  <c:v>1.3676742745497338E-3</c:v>
                </c:pt>
                <c:pt idx="54">
                  <c:v>1.3445646027682753E-3</c:v>
                </c:pt>
                <c:pt idx="55">
                  <c:v>1.3219339310508531E-3</c:v>
                </c:pt>
                <c:pt idx="56">
                  <c:v>1.2997705106319924E-3</c:v>
                </c:pt>
                <c:pt idx="57">
                  <c:v>1.2780629252211368E-3</c:v>
                </c:pt>
                <c:pt idx="58">
                  <c:v>1.2568000803499313E-3</c:v>
                </c:pt>
                <c:pt idx="59">
                  <c:v>1.2359711931003853E-3</c:v>
                </c:pt>
                <c:pt idx="60">
                  <c:v>1.2155657821988869E-3</c:v>
                </c:pt>
                <c:pt idx="61">
                  <c:v>1.1955736584617013E-3</c:v>
                </c:pt>
                <c:pt idx="62">
                  <c:v>1.1759849155781896E-3</c:v>
                </c:pt>
                <c:pt idx="63">
                  <c:v>1.1567899212185835E-3</c:v>
                </c:pt>
                <c:pt idx="64">
                  <c:v>1.1379793084537108E-3</c:v>
                </c:pt>
                <c:pt idx="65">
                  <c:v>1.1195439674745939E-3</c:v>
                </c:pt>
                <c:pt idx="66">
                  <c:v>1.1014750376003633E-3</c:v>
                </c:pt>
                <c:pt idx="67">
                  <c:v>1.0837638995634107E-3</c:v>
                </c:pt>
                <c:pt idx="68">
                  <c:v>1.0664021680611747E-3</c:v>
                </c:pt>
                <c:pt idx="69">
                  <c:v>1.0493816845643864E-3</c:v>
                </c:pt>
                <c:pt idx="70">
                  <c:v>1.0326945103720413E-3</c:v>
                </c:pt>
                <c:pt idx="71">
                  <c:v>1.0163329199037517E-3</c:v>
                </c:pt>
                <c:pt idx="72">
                  <c:v>1.0002893942205355E-3</c:v>
                </c:pt>
                <c:pt idx="73">
                  <c:v>9.8455661476544985E-4</c:v>
                </c:pt>
                <c:pt idx="74">
                  <c:v>9.6912745731584933E-4</c:v>
                </c:pt>
                <c:pt idx="75">
                  <c:v>9.5399498613936613E-4</c:v>
                </c:pt>
                <c:pt idx="76">
                  <c:v>9.3915244834604807E-4</c:v>
                </c:pt>
                <c:pt idx="77">
                  <c:v>9.2459326842938313E-4</c:v>
                </c:pt>
                <c:pt idx="78">
                  <c:v>9.1031104298924695E-4</c:v>
                </c:pt>
                <c:pt idx="79">
                  <c:v>8.9629953563007949E-4</c:v>
                </c:pt>
                <c:pt idx="80">
                  <c:v>8.8255267202787323E-4</c:v>
                </c:pt>
                <c:pt idx="81">
                  <c:v>8.6906453515980938E-4</c:v>
                </c:pt>
                <c:pt idx="82">
                  <c:v>8.5582936069062419E-4</c:v>
                </c:pt>
                <c:pt idx="83">
                  <c:v>8.4284153251002174E-4</c:v>
                </c:pt>
                <c:pt idx="84">
                  <c:v>8.3009557841568545E-4</c:v>
                </c:pt>
                <c:pt idx="85">
                  <c:v>8.1758616593663165E-4</c:v>
                </c:pt>
                <c:pt idx="86">
                  <c:v>8.0530809829188605E-4</c:v>
                </c:pt>
                <c:pt idx="87">
                  <c:v>7.9325631047963386E-4</c:v>
                </c:pt>
                <c:pt idx="88">
                  <c:v>7.8142586549220273E-4</c:v>
                </c:pt>
                <c:pt idx="89">
                  <c:v>7.6981195065240512E-4</c:v>
                </c:pt>
                <c:pt idx="90">
                  <c:v>7.5840987406695177E-4</c:v>
                </c:pt>
                <c:pt idx="91">
                  <c:v>7.472150611928035E-4</c:v>
                </c:pt>
                <c:pt idx="92">
                  <c:v>7.362230515124944E-4</c:v>
                </c:pt>
                <c:pt idx="93">
                  <c:v>7.2542949531461092E-4</c:v>
                </c:pt>
                <c:pt idx="94">
                  <c:v>7.1483015057575516E-4</c:v>
                </c:pt>
                <c:pt idx="95">
                  <c:v>7.0442087994046162E-4</c:v>
                </c:pt>
                <c:pt idx="96">
                  <c:v>6.9419764779567368E-4</c:v>
                </c:pt>
                <c:pt idx="97">
                  <c:v>6.8415651743651096E-4</c:v>
                </c:pt>
                <c:pt idx="98">
                  <c:v>6.7429364832018233E-4</c:v>
                </c:pt>
                <c:pt idx="99">
                  <c:v>6.6460529340502377E-4</c:v>
                </c:pt>
                <c:pt idx="100">
                  <c:v>6.5508779657174178E-4</c:v>
                </c:pt>
                <c:pt idx="101">
                  <c:v>6.4573759012406784E-4</c:v>
                </c:pt>
                <c:pt idx="102">
                  <c:v>6.3655119236611789E-4</c:v>
                </c:pt>
                <c:pt idx="103">
                  <c:v>6.2752520525386261E-4</c:v>
                </c:pt>
                <c:pt idx="104">
                  <c:v>6.1865631211820594E-4</c:v>
                </c:pt>
                <c:pt idx="105">
                  <c:v>6.0994127545726097E-4</c:v>
                </c:pt>
                <c:pt idx="106">
                  <c:v>6.0137693479550276E-4</c:v>
                </c:pt>
                <c:pt idx="107">
                  <c:v>5.9296020460756268E-4</c:v>
                </c:pt>
                <c:pt idx="108">
                  <c:v>5.846880723045085E-4</c:v>
                </c:pt>
                <c:pt idx="109">
                  <c:v>5.7655759628053699E-4</c:v>
                </c:pt>
                <c:pt idx="110">
                  <c:v>5.6856590401807615E-4</c:v>
                </c:pt>
                <c:pt idx="111">
                  <c:v>5.6071019024937058E-4</c:v>
                </c:pt>
                <c:pt idx="112">
                  <c:v>5.5298771517269072E-4</c:v>
                </c:pt>
                <c:pt idx="113">
                  <c:v>5.4539580272137717E-4</c:v>
                </c:pt>
                <c:pt idx="114">
                  <c:v>5.3793183888398816E-4</c:v>
                </c:pt>
                <c:pt idx="115">
                  <c:v>5.305932700738887E-4</c:v>
                </c:pt>
                <c:pt idx="116">
                  <c:v>5.2337760154667413E-4</c:v>
                </c:pt>
                <c:pt idx="117">
                  <c:v>5.1628239586387777E-4</c:v>
                </c:pt>
                <c:pt idx="118">
                  <c:v>5.0930527140147046E-4</c:v>
                </c:pt>
                <c:pt idx="119">
                  <c:v>5.0244390090170836E-4</c:v>
                </c:pt>
                <c:pt idx="120">
                  <c:v>4.9569601006693991E-4</c:v>
                </c:pt>
                <c:pt idx="121">
                  <c:v>4.8905937619402973E-4</c:v>
                </c:pt>
                <c:pt idx="122">
                  <c:v>4.8253182684810324E-4</c:v>
                </c:pt>
                <c:pt idx="123">
                  <c:v>4.7611123857436348E-4</c:v>
                </c:pt>
                <c:pt idx="124">
                  <c:v>4.6979553564677369E-4</c:v>
                </c:pt>
                <c:pt idx="125">
                  <c:v>4.6358268885243937E-4</c:v>
                </c:pt>
                <c:pt idx="126">
                  <c:v>4.5747071431056704E-4</c:v>
                </c:pt>
                <c:pt idx="127">
                  <c:v>4.5145767232491454E-4</c:v>
                </c:pt>
                <c:pt idx="128">
                  <c:v>4.4554166626868148E-4</c:v>
                </c:pt>
                <c:pt idx="129">
                  <c:v>4.3972084150083196E-4</c:v>
                </c:pt>
                <c:pt idx="130">
                  <c:v>4.3399338431286563E-4</c:v>
                </c:pt>
                <c:pt idx="131">
                  <c:v>4.2835752090510028E-4</c:v>
                </c:pt>
                <c:pt idx="132">
                  <c:v>4.2281151639154393E-4</c:v>
                </c:pt>
                <c:pt idx="133">
                  <c:v>4.1735367383248354E-4</c:v>
                </c:pt>
                <c:pt idx="134">
                  <c:v>4.1198233329393252E-4</c:v>
                </c:pt>
                <c:pt idx="135">
                  <c:v>4.0669587093311566E-4</c:v>
                </c:pt>
                <c:pt idx="136">
                  <c:v>4.014926981091963E-4</c:v>
                </c:pt>
                <c:pt idx="137">
                  <c:v>3.9637126051847514E-4</c:v>
                </c:pt>
                <c:pt idx="138">
                  <c:v>3.9133003735331858E-4</c:v>
                </c:pt>
                <c:pt idx="139">
                  <c:v>3.8636754048409615E-4</c:v>
                </c:pt>
                <c:pt idx="140">
                  <c:v>3.8148231366343419E-4</c:v>
                </c:pt>
                <c:pt idx="141">
                  <c:v>3.766729317521116E-4</c:v>
                </c:pt>
                <c:pt idx="142">
                  <c:v>3.7193799996594851E-4</c:v>
                </c:pt>
                <c:pt idx="143">
                  <c:v>3.6727615314306066E-4</c:v>
                </c:pt>
                <c:pt idx="144">
                  <c:v>3.6268605503086867E-4</c:v>
                </c:pt>
                <c:pt idx="145">
                  <c:v>3.5816639759227636E-4</c:v>
                </c:pt>
                <c:pt idx="146">
                  <c:v>3.537159003304493E-4</c:v>
                </c:pt>
                <c:pt idx="147">
                  <c:v>3.4933330963164092E-4</c:v>
                </c:pt>
                <c:pt idx="148">
                  <c:v>3.4501739812553583E-4</c:v>
                </c:pt>
                <c:pt idx="149">
                  <c:v>3.4076696406259261E-4</c:v>
                </c:pt>
                <c:pt idx="150">
                  <c:v>3.3658083070788947E-4</c:v>
                </c:pt>
                <c:pt idx="151">
                  <c:v>3.3245784575098919E-4</c:v>
                </c:pt>
                <c:pt idx="152">
                  <c:v>3.2839688073135406E-4</c:v>
                </c:pt>
                <c:pt idx="153">
                  <c:v>3.2439683047886039E-4</c:v>
                </c:pt>
                <c:pt idx="154">
                  <c:v>3.204566125689752E-4</c:v>
                </c:pt>
                <c:pt idx="155">
                  <c:v>3.1657516679216752E-4</c:v>
                </c:pt>
                <c:pt idx="156">
                  <c:v>3.1275145463714678E-4</c:v>
                </c:pt>
                <c:pt idx="157">
                  <c:v>3.0898445878752912E-4</c:v>
                </c:pt>
                <c:pt idx="158">
                  <c:v>3.0527318263154628E-4</c:v>
                </c:pt>
                <c:pt idx="159">
                  <c:v>3.0161664978442396E-4</c:v>
                </c:pt>
                <c:pt idx="160">
                  <c:v>2.9801390362306924E-4</c:v>
                </c:pt>
                <c:pt idx="161">
                  <c:v>2.944640068327139E-4</c:v>
                </c:pt>
                <c:pt idx="162">
                  <c:v>2.9096604096517817E-4</c:v>
                </c:pt>
                <c:pt idx="163">
                  <c:v>2.8751910600842304E-4</c:v>
                </c:pt>
                <c:pt idx="164">
                  <c:v>2.8412231996707415E-4</c:v>
                </c:pt>
                <c:pt idx="165">
                  <c:v>2.8077481845360764E-4</c:v>
                </c:pt>
                <c:pt idx="166">
                  <c:v>2.7747575428989921E-4</c:v>
                </c:pt>
                <c:pt idx="167">
                  <c:v>2.7422429711884602E-4</c:v>
                </c:pt>
                <c:pt idx="168">
                  <c:v>2.710196330257805E-4</c:v>
                </c:pt>
                <c:pt idx="169">
                  <c:v>2.6786096416940287E-4</c:v>
                </c:pt>
                <c:pt idx="170">
                  <c:v>2.6474750842196888E-4</c:v>
                </c:pt>
                <c:pt idx="171">
                  <c:v>2.616784990184759E-4</c:v>
                </c:pt>
                <c:pt idx="172">
                  <c:v>2.5865318421459851E-4</c:v>
                </c:pt>
                <c:pt idx="173">
                  <c:v>2.5567082695313422E-4</c:v>
                </c:pt>
                <c:pt idx="174">
                  <c:v>2.5273070453872321E-4</c:v>
                </c:pt>
                <c:pt idx="175">
                  <c:v>2.4983210832061698E-4</c:v>
                </c:pt>
                <c:pt idx="176">
                  <c:v>2.4697434338327582E-4</c:v>
                </c:pt>
                <c:pt idx="177">
                  <c:v>2.4415672824458143E-4</c:v>
                </c:pt>
                <c:pt idx="178">
                  <c:v>2.4137859456145743E-4</c:v>
                </c:pt>
                <c:pt idx="179">
                  <c:v>2.386392868426974E-4</c:v>
                </c:pt>
                <c:pt idx="180">
                  <c:v>2.3593816216880545E-4</c:v>
                </c:pt>
                <c:pt idx="181">
                  <c:v>2.3327458991866042E-4</c:v>
                </c:pt>
                <c:pt idx="182">
                  <c:v>2.3064795150281957E-4</c:v>
                </c:pt>
                <c:pt idx="183">
                  <c:v>2.2805764010328379E-4</c:v>
                </c:pt>
                <c:pt idx="184">
                  <c:v>2.2550306041955247E-4</c:v>
                </c:pt>
                <c:pt idx="185">
                  <c:v>2.2298362842079812E-4</c:v>
                </c:pt>
                <c:pt idx="186">
                  <c:v>2.2049877110400019E-4</c:v>
                </c:pt>
                <c:pt idx="187">
                  <c:v>2.180479262578779E-4</c:v>
                </c:pt>
                <c:pt idx="188">
                  <c:v>2.1563054223246939E-4</c:v>
                </c:pt>
                <c:pt idx="189">
                  <c:v>2.1324607771420841E-4</c:v>
                </c:pt>
                <c:pt idx="190">
                  <c:v>2.1089400150635265E-4</c:v>
                </c:pt>
                <c:pt idx="191">
                  <c:v>2.0857379231462386E-4</c:v>
                </c:pt>
                <c:pt idx="192">
                  <c:v>2.0628493853792296E-4</c:v>
                </c:pt>
                <c:pt idx="193">
                  <c:v>2.0402693806398738E-4</c:v>
                </c:pt>
                <c:pt idx="194">
                  <c:v>2.0179929806986145E-4</c:v>
                </c:pt>
                <c:pt idx="195">
                  <c:v>1.9960153482705522E-4</c:v>
                </c:pt>
                <c:pt idx="196">
                  <c:v>1.9743317351126962E-4</c:v>
                </c:pt>
                <c:pt idx="197">
                  <c:v>1.9529374801656986E-4</c:v>
                </c:pt>
                <c:pt idx="198">
                  <c:v>1.9318280077389172E-4</c:v>
                </c:pt>
                <c:pt idx="199">
                  <c:v>1.9109988257377057E-4</c:v>
                </c:pt>
                <c:pt idx="200">
                  <c:v>1.8904455239318287E-4</c:v>
                </c:pt>
                <c:pt idx="201">
                  <c:v>1.870163772263959E-4</c:v>
                </c:pt>
                <c:pt idx="202">
                  <c:v>1.8501493191972235E-4</c:v>
                </c:pt>
                <c:pt idx="203">
                  <c:v>1.8303979901008167E-4</c:v>
                </c:pt>
                <c:pt idx="204">
                  <c:v>1.8109056856726978E-4</c:v>
                </c:pt>
                <c:pt idx="205">
                  <c:v>1.7916683803984322E-4</c:v>
                </c:pt>
                <c:pt idx="206">
                  <c:v>1.7726821210452799E-4</c:v>
                </c:pt>
                <c:pt idx="207">
                  <c:v>1.7539430251906112E-4</c:v>
                </c:pt>
                <c:pt idx="208">
                  <c:v>1.7354472797838146E-4</c:v>
                </c:pt>
                <c:pt idx="209">
                  <c:v>1.7171911397408348E-4</c:v>
                </c:pt>
                <c:pt idx="210">
                  <c:v>1.6991709265705326E-4</c:v>
                </c:pt>
                <c:pt idx="211">
                  <c:v>1.6813830270320657E-4</c:v>
                </c:pt>
                <c:pt idx="212">
                  <c:v>1.663823891822522E-4</c:v>
                </c:pt>
                <c:pt idx="213">
                  <c:v>1.6464900342940482E-4</c:v>
                </c:pt>
                <c:pt idx="214">
                  <c:v>1.6293780291997401E-4</c:v>
                </c:pt>
                <c:pt idx="215">
                  <c:v>1.612484511467591E-4</c:v>
                </c:pt>
                <c:pt idx="216">
                  <c:v>1.5958061750017912E-4</c:v>
                </c:pt>
                <c:pt idx="217">
                  <c:v>1.5793397715107188E-4</c:v>
                </c:pt>
                <c:pt idx="218">
                  <c:v>1.5630821093609522E-4</c:v>
                </c:pt>
                <c:pt idx="219">
                  <c:v>1.5470300524566812E-4</c:v>
                </c:pt>
                <c:pt idx="220">
                  <c:v>1.5311805191438731E-4</c:v>
                </c:pt>
                <c:pt idx="221">
                  <c:v>1.5155304811386146E-4</c:v>
                </c:pt>
                <c:pt idx="222">
                  <c:v>1.5000769624790266E-4</c:v>
                </c:pt>
                <c:pt idx="223">
                  <c:v>1.4848170385001685E-4</c:v>
                </c:pt>
                <c:pt idx="224">
                  <c:v>1.4697478348314091E-4</c:v>
                </c:pt>
                <c:pt idx="225">
                  <c:v>1.4548665264156734E-4</c:v>
                </c:pt>
                <c:pt idx="226">
                  <c:v>1.4401703365500877E-4</c:v>
                </c:pt>
                <c:pt idx="227">
                  <c:v>1.4256565359474613E-4</c:v>
                </c:pt>
                <c:pt idx="228">
                  <c:v>1.4113224418181409E-4</c:v>
                </c:pt>
                <c:pt idx="229">
                  <c:v>1.3971654169717254E-4</c:v>
                </c:pt>
                <c:pt idx="230">
                  <c:v>1.3831828689381793E-4</c:v>
                </c:pt>
                <c:pt idx="231">
                  <c:v>1.3693722491078786E-4</c:v>
                </c:pt>
                <c:pt idx="232">
                  <c:v>1.3557310518901367E-4</c:v>
                </c:pt>
                <c:pt idx="233">
                  <c:v>1.3422568138897725E-4</c:v>
                </c:pt>
                <c:pt idx="234">
                  <c:v>1.3289471131012925E-4</c:v>
                </c:pt>
                <c:pt idx="235">
                  <c:v>1.3157995681202788E-4</c:v>
                </c:pt>
                <c:pt idx="236">
                  <c:v>1.3028118373715594E-4</c:v>
                </c:pt>
                <c:pt idx="237">
                  <c:v>1.2899816183537891E-4</c:v>
                </c:pt>
                <c:pt idx="238">
                  <c:v>1.277306646900032E-4</c:v>
                </c:pt>
                <c:pt idx="239">
                  <c:v>1.2647846964539917E-4</c:v>
                </c:pt>
                <c:pt idx="240">
                  <c:v>1.2524135773615087E-4</c:v>
                </c:pt>
                <c:pt idx="241">
                  <c:v>1.2401911361769788E-4</c:v>
                </c:pt>
                <c:pt idx="242">
                  <c:v>1.2281152549843371E-4</c:v>
                </c:pt>
                <c:pt idx="243">
                  <c:v>1.2161838507322785E-4</c:v>
                </c:pt>
                <c:pt idx="244">
                  <c:v>1.2043948745833761E-4</c:v>
                </c:pt>
                <c:pt idx="245">
                  <c:v>1.1927463112767846E-4</c:v>
                </c:pt>
                <c:pt idx="246">
                  <c:v>1.1812361785042074E-4</c:v>
                </c:pt>
                <c:pt idx="247">
                  <c:v>1.1698625262988317E-4</c:v>
                </c:pt>
                <c:pt idx="248">
                  <c:v>1.1586234364369232E-4</c:v>
                </c:pt>
                <c:pt idx="249">
                  <c:v>1.1475170218518006E-4</c:v>
                </c:pt>
                <c:pt idx="250">
                  <c:v>1.1365414260599003E-4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C6-4E24-8777-8EB719A0061F}"/>
            </c:ext>
          </c:extLst>
        </c:ser>
        <c:ser>
          <c:idx val="1"/>
          <c:order val="1"/>
          <c:tx>
            <c:strRef>
              <c:f>CALCULATIONS!$H$7</c:f>
              <c:strCache>
                <c:ptCount val="1"/>
                <c:pt idx="0">
                  <c:v>bbph (/m)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CALCULATIONS!$H$8:$H$258</c:f>
              <c:numCache>
                <c:formatCode>0.0000</c:formatCode>
                <c:ptCount val="251"/>
                <c:pt idx="0">
                  <c:v>2.006962400793655E-4</c:v>
                </c:pt>
                <c:pt idx="1">
                  <c:v>1.9968819278804332E-4</c:v>
                </c:pt>
                <c:pt idx="2">
                  <c:v>1.9869087072040207E-4</c:v>
                </c:pt>
                <c:pt idx="3">
                  <c:v>1.977041075122325E-4</c:v>
                </c:pt>
                <c:pt idx="4">
                  <c:v>1.9672774018244637E-4</c:v>
                </c:pt>
                <c:pt idx="5">
                  <c:v>1.9576160904811701E-4</c:v>
                </c:pt>
                <c:pt idx="6">
                  <c:v>1.9480555764205519E-4</c:v>
                </c:pt>
                <c:pt idx="7">
                  <c:v>1.9385943263283361E-4</c:v>
                </c:pt>
                <c:pt idx="8">
                  <c:v>1.9292308374717433E-4</c:v>
                </c:pt>
                <c:pt idx="9">
                  <c:v>1.9199636369461975E-4</c:v>
                </c:pt>
                <c:pt idx="10">
                  <c:v>1.9107912809440914E-4</c:v>
                </c:pt>
                <c:pt idx="11">
                  <c:v>1.9017123540448463E-4</c:v>
                </c:pt>
                <c:pt idx="12">
                  <c:v>1.8927254685255715E-4</c:v>
                </c:pt>
                <c:pt idx="13">
                  <c:v>1.8838292636916143E-4</c:v>
                </c:pt>
                <c:pt idx="14">
                  <c:v>1.8750224052263434E-4</c:v>
                </c:pt>
                <c:pt idx="15">
                  <c:v>1.8663035845595222E-4</c:v>
                </c:pt>
                <c:pt idx="16">
                  <c:v>1.8576715182536658E-4</c:v>
                </c:pt>
                <c:pt idx="17">
                  <c:v>1.8491249474077764E-4</c:v>
                </c:pt>
                <c:pt idx="18">
                  <c:v>1.8406626370778993E-4</c:v>
                </c:pt>
                <c:pt idx="19">
                  <c:v>1.8322833757139417E-4</c:v>
                </c:pt>
                <c:pt idx="20">
                  <c:v>1.8239859746122333E-4</c:v>
                </c:pt>
                <c:pt idx="21">
                  <c:v>1.8157692673833107E-4</c:v>
                </c:pt>
                <c:pt idx="22">
                  <c:v>1.8076321094344464E-4</c:v>
                </c:pt>
                <c:pt idx="23">
                  <c:v>1.7995733774664409E-4</c:v>
                </c:pt>
                <c:pt idx="24">
                  <c:v>1.791591968984224E-4</c:v>
                </c:pt>
                <c:pt idx="25">
                  <c:v>1.7836868018208336E-4</c:v>
                </c:pt>
                <c:pt idx="26">
                  <c:v>1.7758568136743398E-4</c:v>
                </c:pt>
                <c:pt idx="27">
                  <c:v>1.7681009616573115E-4</c:v>
                </c:pt>
                <c:pt idx="28">
                  <c:v>1.7604182218584341E-4</c:v>
                </c:pt>
                <c:pt idx="29">
                  <c:v>1.7528075889158907E-4</c:v>
                </c:pt>
                <c:pt idx="30">
                  <c:v>1.7452680756021552E-4</c:v>
                </c:pt>
                <c:pt idx="31">
                  <c:v>1.7377987124198268E-4</c:v>
                </c:pt>
                <c:pt idx="32">
                  <c:v>1.7303985472081842E-4</c:v>
                </c:pt>
                <c:pt idx="33">
                  <c:v>1.7230666447601132E-4</c:v>
                </c:pt>
                <c:pt idx="34">
                  <c:v>1.7158020864491041E-4</c:v>
                </c:pt>
                <c:pt idx="35">
                  <c:v>1.7086039698660041E-4</c:v>
                </c:pt>
                <c:pt idx="36">
                  <c:v>1.7014714084652397E-4</c:v>
                </c:pt>
                <c:pt idx="37">
                  <c:v>1.6944035312202043E-4</c:v>
                </c:pt>
                <c:pt idx="38">
                  <c:v>1.6873994822875585E-4</c:v>
                </c:pt>
                <c:pt idx="39">
                  <c:v>1.6804584206801647E-4</c:v>
                </c:pt>
                <c:pt idx="40">
                  <c:v>1.6735795199483927E-4</c:v>
                </c:pt>
                <c:pt idx="41">
                  <c:v>1.6667619678695637E-4</c:v>
                </c:pt>
                <c:pt idx="42">
                  <c:v>1.6600049661452798E-4</c:v>
                </c:pt>
                <c:pt idx="43">
                  <c:v>1.6533077301064136E-4</c:v>
                </c:pt>
                <c:pt idx="44">
                  <c:v>1.6466694884255284E-4</c:v>
                </c:pt>
                <c:pt idx="45">
                  <c:v>1.6400894828365187E-4</c:v>
                </c:pt>
                <c:pt idx="46">
                  <c:v>1.6335669678612503E-4</c:v>
                </c:pt>
                <c:pt idx="47">
                  <c:v>1.6271012105430183E-4</c:v>
                </c:pt>
                <c:pt idx="48">
                  <c:v>1.6206914901865967E-4</c:v>
                </c:pt>
                <c:pt idx="49">
                  <c:v>1.6143370981047182E-4</c:v>
                </c:pt>
                <c:pt idx="50">
                  <c:v>1.6080373373707828E-4</c:v>
                </c:pt>
                <c:pt idx="51">
                  <c:v>1.6017915225776281E-4</c:v>
                </c:pt>
                <c:pt idx="52">
                  <c:v>1.5955989796021799E-4</c:v>
                </c:pt>
                <c:pt idx="53">
                  <c:v>1.5894590453758258E-4</c:v>
                </c:pt>
                <c:pt idx="54">
                  <c:v>1.5833710676603466E-4</c:v>
                </c:pt>
                <c:pt idx="55">
                  <c:v>1.5773344048292484E-4</c:v>
                </c:pt>
                <c:pt idx="56">
                  <c:v>1.571348425654347E-4</c:v>
                </c:pt>
                <c:pt idx="57">
                  <c:v>1.5654125090974597E-4</c:v>
                </c:pt>
                <c:pt idx="58">
                  <c:v>1.5595260441070578E-4</c:v>
                </c:pt>
                <c:pt idx="59">
                  <c:v>1.55368842941975E-4</c:v>
                </c:pt>
                <c:pt idx="60">
                  <c:v>1.547899073366455E-4</c:v>
                </c:pt>
                <c:pt idx="61">
                  <c:v>1.5421573936831476E-4</c:v>
                </c:pt>
                <c:pt idx="62">
                  <c:v>1.5364628173260365E-4</c:v>
                </c:pt>
                <c:pt idx="63">
                  <c:v>1.5308147802910711E-4</c:v>
                </c:pt>
                <c:pt idx="64">
                  <c:v>1.5252127274376477E-4</c:v>
                </c:pt>
                <c:pt idx="65">
                  <c:v>1.5196561123164052E-4</c:v>
                </c:pt>
                <c:pt idx="66">
                  <c:v>1.5141443970010038E-4</c:v>
                </c:pt>
                <c:pt idx="67">
                  <c:v>1.5086770519237761E-4</c:v>
                </c:pt>
                <c:pt idx="68">
                  <c:v>1.5032535557151465E-4</c:v>
                </c:pt>
                <c:pt idx="69">
                  <c:v>1.4978733950467252E-4</c:v>
                </c:pt>
                <c:pt idx="70">
                  <c:v>1.4925360644779722E-4</c:v>
                </c:pt>
                <c:pt idx="71">
                  <c:v>1.4872410663063388E-4</c:v>
                </c:pt>
                <c:pt idx="72">
                  <c:v>1.4819879104208017E-4</c:v>
                </c:pt>
                <c:pt idx="73">
                  <c:v>1.4767761141586889E-4</c:v>
                </c:pt>
                <c:pt idx="74">
                  <c:v>1.4716052021657237E-4</c:v>
                </c:pt>
                <c:pt idx="75">
                  <c:v>1.4664747062591966E-4</c:v>
                </c:pt>
                <c:pt idx="76">
                  <c:v>1.4613841652941825E-4</c:v>
                </c:pt>
                <c:pt idx="77">
                  <c:v>1.4563331250327301E-4</c:v>
                </c:pt>
                <c:pt idx="78">
                  <c:v>1.451321138015945E-4</c:v>
                </c:pt>
                <c:pt idx="79">
                  <c:v>1.4463477634388879E-4</c:v>
                </c:pt>
                <c:pt idx="80">
                  <c:v>1.4414125670282247E-4</c:v>
                </c:pt>
                <c:pt idx="81">
                  <c:v>1.4365151209225481E-4</c:v>
                </c:pt>
                <c:pt idx="82">
                  <c:v>1.4316550035553148E-4</c:v>
                </c:pt>
                <c:pt idx="83">
                  <c:v>1.4268317995403223E-4</c:v>
                </c:pt>
                <c:pt idx="84">
                  <c:v>1.4220450995596629E-4</c:v>
                </c:pt>
                <c:pt idx="85">
                  <c:v>1.4172945002541006E-4</c:v>
                </c:pt>
                <c:pt idx="86">
                  <c:v>1.4125796041157993E-4</c:v>
                </c:pt>
                <c:pt idx="87">
                  <c:v>1.407900019383353E-4</c:v>
                </c:pt>
                <c:pt idx="88">
                  <c:v>1.4032553599390546E-4</c:v>
                </c:pt>
                <c:pt idx="89">
                  <c:v>1.3986452452083507E-4</c:v>
                </c:pt>
                <c:pt idx="90">
                  <c:v>1.3940693000614288E-4</c:v>
                </c:pt>
                <c:pt idx="91">
                  <c:v>1.3895271547168832E-4</c:v>
                </c:pt>
                <c:pt idx="92">
                  <c:v>1.3850184446474091E-4</c:v>
                </c:pt>
                <c:pt idx="93">
                  <c:v>1.3805428104874778E-4</c:v>
                </c:pt>
                <c:pt idx="94">
                  <c:v>1.3760998979429393E-4</c:v>
                </c:pt>
                <c:pt idx="95">
                  <c:v>1.3716893577025104E-4</c:v>
                </c:pt>
                <c:pt idx="96">
                  <c:v>1.3673108453511024E-4</c:v>
                </c:pt>
                <c:pt idx="97">
                  <c:v>1.3629640212849432E-4</c:v>
                </c:pt>
                <c:pt idx="98">
                  <c:v>1.3586485506284475E-4</c:v>
                </c:pt>
                <c:pt idx="99">
                  <c:v>1.3543641031528013E-4</c:v>
                </c:pt>
                <c:pt idx="100">
                  <c:v>1.3501103531962086E-4</c:v>
                </c:pt>
                <c:pt idx="101">
                  <c:v>1.3458869795857746E-4</c:v>
                </c:pt>
                <c:pt idx="102">
                  <c:v>1.3416936655609736E-4</c:v>
                </c:pt>
                <c:pt idx="103">
                  <c:v>1.3375300986986739E-4</c:v>
                </c:pt>
                <c:pt idx="104">
                  <c:v>1.3333959708396732E-4</c:v>
                </c:pt>
                <c:pt idx="105">
                  <c:v>1.3292909780167236E-4</c:v>
                </c:pt>
                <c:pt idx="106">
                  <c:v>1.325214820383994E-4</c:v>
                </c:pt>
                <c:pt idx="107">
                  <c:v>1.3211672021479529E-4</c:v>
                </c:pt>
                <c:pt idx="108">
                  <c:v>1.3171478314996245E-4</c:v>
                </c:pt>
                <c:pt idx="109">
                  <c:v>1.3131564205481964E-4</c:v>
                </c:pt>
                <c:pt idx="110">
                  <c:v>1.3091926852559443E-4</c:v>
                </c:pt>
                <c:pt idx="111">
                  <c:v>1.3052563453744403E-4</c:v>
                </c:pt>
                <c:pt idx="112">
                  <c:v>1.3013471243820233E-4</c:v>
                </c:pt>
                <c:pt idx="113">
                  <c:v>1.2974647494224921E-4</c:v>
                </c:pt>
                <c:pt idx="114">
                  <c:v>1.2936089512450023E-4</c:v>
                </c:pt>
                <c:pt idx="115">
                  <c:v>1.2897794641451361E-4</c:v>
                </c:pt>
                <c:pt idx="116">
                  <c:v>1.2859760259071175E-4</c:v>
                </c:pt>
                <c:pt idx="117">
                  <c:v>1.2821983777471505E-4</c:v>
                </c:pt>
                <c:pt idx="118">
                  <c:v>1.2784462642578506E-4</c:v>
                </c:pt>
                <c:pt idx="119">
                  <c:v>1.2747194333537459E-4</c:v>
                </c:pt>
                <c:pt idx="120">
                  <c:v>1.2710176362178333E-4</c:v>
                </c:pt>
                <c:pt idx="121">
                  <c:v>1.267340627249146E-4</c:v>
                </c:pt>
                <c:pt idx="122">
                  <c:v>1.2636881640113348E-4</c:v>
                </c:pt>
                <c:pt idx="123">
                  <c:v>1.2600600071822183E-4</c:v>
                </c:pt>
                <c:pt idx="124">
                  <c:v>1.2564559205042962E-4</c:v>
                </c:pt>
                <c:pt idx="125">
                  <c:v>1.2528756707361972E-4</c:v>
                </c:pt>
                <c:pt idx="126">
                  <c:v>1.2493190276050416E-4</c:v>
                </c:pt>
                <c:pt idx="127">
                  <c:v>1.2457857637597014E-4</c:v>
                </c:pt>
                <c:pt idx="128">
                  <c:v>1.2422756547249365E-4</c:v>
                </c:pt>
                <c:pt idx="129">
                  <c:v>1.238788478856385E-4</c:v>
                </c:pt>
                <c:pt idx="130">
                  <c:v>1.2353240172963963E-4</c:v>
                </c:pt>
                <c:pt idx="131">
                  <c:v>1.2318820539306821E-4</c:v>
                </c:pt>
                <c:pt idx="132">
                  <c:v>1.2284623753457718E-4</c:v>
                </c:pt>
                <c:pt idx="133">
                  <c:v>1.2250647707872506E-4</c:v>
                </c:pt>
                <c:pt idx="134">
                  <c:v>1.2216890321187701E-4</c:v>
                </c:pt>
                <c:pt idx="135">
                  <c:v>1.2183349537818086E-4</c:v>
                </c:pt>
                <c:pt idx="136">
                  <c:v>1.2150023327561685E-4</c:v>
                </c:pt>
                <c:pt idx="137">
                  <c:v>1.2116909685211958E-4</c:v>
                </c:pt>
                <c:pt idx="138">
                  <c:v>1.2084006630177017E-4</c:v>
                </c:pt>
                <c:pt idx="139">
                  <c:v>1.2051312206105787E-4</c:v>
                </c:pt>
                <c:pt idx="140">
                  <c:v>1.2018824480520907E-4</c:v>
                </c:pt>
                <c:pt idx="141">
                  <c:v>1.1986541544458244E-4</c:v>
                </c:pt>
                <c:pt idx="142">
                  <c:v>1.1954461512112913E-4</c:v>
                </c:pt>
                <c:pt idx="143">
                  <c:v>1.1922582520491612E-4</c:v>
                </c:pt>
                <c:pt idx="144">
                  <c:v>1.1890902729071191E-4</c:v>
                </c:pt>
                <c:pt idx="145">
                  <c:v>1.1859420319463302E-4</c:v>
                </c:pt>
                <c:pt idx="146">
                  <c:v>1.1828133495085021E-4</c:v>
                </c:pt>
                <c:pt idx="147">
                  <c:v>1.1797040480835268E-4</c:v>
                </c:pt>
                <c:pt idx="148">
                  <c:v>1.1766139522776973E-4</c:v>
                </c:pt>
                <c:pt idx="149">
                  <c:v>1.1735428887824862E-4</c:v>
                </c:pt>
                <c:pt idx="150">
                  <c:v>1.1704906863438681E-4</c:v>
                </c:pt>
                <c:pt idx="151">
                  <c:v>1.1674571757321819E-4</c:v>
                </c:pt>
                <c:pt idx="152">
                  <c:v>1.1644421897125206E-4</c:v>
                </c:pt>
                <c:pt idx="153">
                  <c:v>1.1614455630156332E-4</c:v>
                </c:pt>
                <c:pt idx="154">
                  <c:v>1.1584671323093373E-4</c:v>
                </c:pt>
                <c:pt idx="155">
                  <c:v>1.1555067361704222E-4</c:v>
                </c:pt>
                <c:pt idx="156">
                  <c:v>1.1525642150570384E-4</c:v>
                </c:pt>
                <c:pt idx="157">
                  <c:v>1.1496394112815639E-4</c:v>
                </c:pt>
                <c:pt idx="158">
                  <c:v>1.1467321689839374E-4</c:v>
                </c:pt>
                <c:pt idx="159">
                  <c:v>1.1438423341054444E-4</c:v>
                </c:pt>
                <c:pt idx="160">
                  <c:v>1.1409697543629539E-4</c:v>
                </c:pt>
                <c:pt idx="161">
                  <c:v>1.1381142792235947E-4</c:v>
                </c:pt>
                <c:pt idx="162">
                  <c:v>1.1352757598798584E-4</c:v>
                </c:pt>
                <c:pt idx="163">
                  <c:v>1.132454049225128E-4</c:v>
                </c:pt>
                <c:pt idx="164">
                  <c:v>1.1296490018296163E-4</c:v>
                </c:pt>
                <c:pt idx="165">
                  <c:v>1.1268604739167134E-4</c:v>
                </c:pt>
                <c:pt idx="166">
                  <c:v>1.1240883233397283E-4</c:v>
                </c:pt>
                <c:pt idx="167">
                  <c:v>1.1213324095590213E-4</c:v>
                </c:pt>
                <c:pt idx="168">
                  <c:v>1.1185925936195182E-4</c:v>
                </c:pt>
                <c:pt idx="169">
                  <c:v>1.1158687381286027E-4</c:v>
                </c:pt>
                <c:pt idx="170">
                  <c:v>1.1131607072343681E-4</c:v>
                </c:pt>
                <c:pt idx="171">
                  <c:v>1.1104683666042392E-4</c:v>
                </c:pt>
                <c:pt idx="172">
                  <c:v>1.1077915834039392E-4</c:v>
                </c:pt>
                <c:pt idx="173">
                  <c:v>1.1051302262768086E-4</c:v>
                </c:pt>
                <c:pt idx="174">
                  <c:v>1.1024841653234633E-4</c:v>
                </c:pt>
                <c:pt idx="175">
                  <c:v>1.0998532720817834E-4</c:v>
                </c:pt>
                <c:pt idx="176">
                  <c:v>1.0972374195072317E-4</c:v>
                </c:pt>
                <c:pt idx="177">
                  <c:v>1.0946364819534938E-4</c:v>
                </c:pt>
                <c:pt idx="178">
                  <c:v>1.0920503351534314E-4</c:v>
                </c:pt>
                <c:pt idx="179">
                  <c:v>1.0894788562003439E-4</c:v>
                </c:pt>
                <c:pt idx="180">
                  <c:v>1.0869219235295378E-4</c:v>
                </c:pt>
                <c:pt idx="181">
                  <c:v>1.0843794169001865E-4</c:v>
                </c:pt>
                <c:pt idx="182">
                  <c:v>1.0818512173774882E-4</c:v>
                </c:pt>
                <c:pt idx="183">
                  <c:v>1.0793372073151075E-4</c:v>
                </c:pt>
                <c:pt idx="184">
                  <c:v>1.0768372703378988E-4</c:v>
                </c:pt>
                <c:pt idx="185">
                  <c:v>1.0743512913249042E-4</c:v>
                </c:pt>
                <c:pt idx="186">
                  <c:v>1.0718791563926244E-4</c:v>
                </c:pt>
                <c:pt idx="187">
                  <c:v>1.0694207528785551E-4</c:v>
                </c:pt>
                <c:pt idx="188">
                  <c:v>1.0669759693249814E-4</c:v>
                </c:pt>
                <c:pt idx="189">
                  <c:v>1.0645446954630334E-4</c:v>
                </c:pt>
                <c:pt idx="190">
                  <c:v>1.0621268221969879E-4</c:v>
                </c:pt>
                <c:pt idx="191">
                  <c:v>1.0597222415888215E-4</c:v>
                </c:pt>
                <c:pt idx="192">
                  <c:v>1.0573308468430021E-4</c:v>
                </c:pt>
                <c:pt idx="193">
                  <c:v>1.0549525322915212E-4</c:v>
                </c:pt>
                <c:pt idx="194">
                  <c:v>1.0525871933791591E-4</c:v>
                </c:pt>
                <c:pt idx="195">
                  <c:v>1.0502347266489777E-4</c:v>
                </c:pt>
                <c:pt idx="196">
                  <c:v>1.0478950297280418E-4</c:v>
                </c:pt>
                <c:pt idx="197">
                  <c:v>1.045568001313359E-4</c:v>
                </c:pt>
                <c:pt idx="198">
                  <c:v>1.0432535411580368E-4</c:v>
                </c:pt>
                <c:pt idx="199">
                  <c:v>1.0409515500576552E-4</c:v>
                </c:pt>
                <c:pt idx="200">
                  <c:v>1.0386619298368463E-4</c:v>
                </c:pt>
                <c:pt idx="201">
                  <c:v>1.0363845833360809E-4</c:v>
                </c:pt>
                <c:pt idx="202">
                  <c:v>1.0341194143986581E-4</c:v>
                </c:pt>
                <c:pt idx="203">
                  <c:v>1.0318663278578906E-4</c:v>
                </c:pt>
                <c:pt idx="204">
                  <c:v>1.0296252295244897E-4</c:v>
                </c:pt>
                <c:pt idx="205">
                  <c:v>1.0273960261741346E-4</c:v>
                </c:pt>
                <c:pt idx="206">
                  <c:v>1.0251786255352385E-4</c:v>
                </c:pt>
                <c:pt idx="207">
                  <c:v>1.0229729362768937E-4</c:v>
                </c:pt>
                <c:pt idx="208">
                  <c:v>1.0207788679969995E-4</c:v>
                </c:pt>
                <c:pt idx="209">
                  <c:v>1.0185963312105693E-4</c:v>
                </c:pt>
                <c:pt idx="210">
                  <c:v>1.0164252373382139E-4</c:v>
                </c:pt>
                <c:pt idx="211">
                  <c:v>1.014265498694795E-4</c:v>
                </c:pt>
                <c:pt idx="212">
                  <c:v>1.0121170284782493E-4</c:v>
                </c:pt>
                <c:pt idx="213">
                  <c:v>1.0099797407585793E-4</c:v>
                </c:pt>
                <c:pt idx="214">
                  <c:v>1.0078535504670062E-4</c:v>
                </c:pt>
                <c:pt idx="215">
                  <c:v>1.0057383733852853E-4</c:v>
                </c:pt>
                <c:pt idx="216">
                  <c:v>1.0036341261351783E-4</c:v>
                </c:pt>
                <c:pt idx="217">
                  <c:v>1.0015407261680802E-4</c:v>
                </c:pt>
                <c:pt idx="218">
                  <c:v>9.9945809175480086E-5</c:v>
                </c:pt>
                <c:pt idx="219">
                  <c:v>9.9738614197549387E-5</c:v>
                </c:pt>
                <c:pt idx="220">
                  <c:v>9.9532479670973577E-5</c:v>
                </c:pt>
                <c:pt idx="221">
                  <c:v>9.9327397662674728E-5</c:v>
                </c:pt>
                <c:pt idx="222">
                  <c:v>9.9123360317575858E-5</c:v>
                </c:pt>
                <c:pt idx="223">
                  <c:v>9.8920359857651525E-5</c:v>
                </c:pt>
                <c:pt idx="224">
                  <c:v>9.8718388580992008E-5</c:v>
                </c:pt>
                <c:pt idx="225">
                  <c:v>9.8517438860881248E-5</c:v>
                </c:pt>
                <c:pt idx="226">
                  <c:v>9.8317503144887801E-5</c:v>
                </c:pt>
                <c:pt idx="227">
                  <c:v>9.8118573953969243E-5</c:v>
                </c:pt>
                <c:pt idx="228">
                  <c:v>9.7920643881589117E-5</c:v>
                </c:pt>
                <c:pt idx="229">
                  <c:v>9.772370559284675E-5</c:v>
                </c:pt>
                <c:pt idx="230">
                  <c:v>9.7527751823619436E-5</c:v>
                </c:pt>
                <c:pt idx="231">
                  <c:v>9.733277537971685E-5</c:v>
                </c:pt>
                <c:pt idx="232">
                  <c:v>9.7138769136047431E-5</c:v>
                </c:pt>
                <c:pt idx="233">
                  <c:v>9.6945726035796805E-5</c:v>
                </c:pt>
                <c:pt idx="234">
                  <c:v>9.675363908961772E-5</c:v>
                </c:pt>
                <c:pt idx="235">
                  <c:v>9.6562501374831275E-5</c:v>
                </c:pt>
                <c:pt idx="236">
                  <c:v>9.6372306034639801E-5</c:v>
                </c:pt>
                <c:pt idx="237">
                  <c:v>9.6183046277350371E-5</c:v>
                </c:pt>
                <c:pt idx="238">
                  <c:v>9.599471537560961E-5</c:v>
                </c:pt>
                <c:pt idx="239">
                  <c:v>9.5807306665648929E-5</c:v>
                </c:pt>
                <c:pt idx="240">
                  <c:v>9.5620813546540474E-5</c:v>
                </c:pt>
                <c:pt idx="241">
                  <c:v>9.543522947946341E-5</c:v>
                </c:pt>
                <c:pt idx="242">
                  <c:v>9.525054798698028E-5</c:v>
                </c:pt>
                <c:pt idx="243">
                  <c:v>9.5066762652323727E-5</c:v>
                </c:pt>
                <c:pt idx="244">
                  <c:v>9.4883867118692719E-5</c:v>
                </c:pt>
                <c:pt idx="245">
                  <c:v>9.4701855088558784E-5</c:v>
                </c:pt>
                <c:pt idx="246">
                  <c:v>9.4520720322981624E-5</c:v>
                </c:pt>
                <c:pt idx="247">
                  <c:v>9.4340456640934275E-5</c:v>
                </c:pt>
                <c:pt idx="248">
                  <c:v>9.4161057918637438E-5</c:v>
                </c:pt>
                <c:pt idx="249">
                  <c:v>9.3982518088902965E-5</c:v>
                </c:pt>
                <c:pt idx="250">
                  <c:v>9.3804831140486349E-5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C6-4E24-8777-8EB719A0061F}"/>
            </c:ext>
          </c:extLst>
        </c:ser>
        <c:ser>
          <c:idx val="2"/>
          <c:order val="2"/>
          <c:tx>
            <c:strRef>
              <c:f>CALCULATIONS!$I$7</c:f>
              <c:strCache>
                <c:ptCount val="1"/>
                <c:pt idx="0">
                  <c:v>bbNAP (/m)</c:v>
                </c:pt>
              </c:strCache>
            </c:strRef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CALCULATIONS!$I$8:$I$258</c:f>
              <c:numCache>
                <c:formatCode>0.0000</c:formatCode>
                <c:ptCount val="251"/>
                <c:pt idx="0">
                  <c:v>1.0200000000000001E-4</c:v>
                </c:pt>
                <c:pt idx="1">
                  <c:v>1.0200000000000001E-4</c:v>
                </c:pt>
                <c:pt idx="2">
                  <c:v>1.0200000000000001E-4</c:v>
                </c:pt>
                <c:pt idx="3">
                  <c:v>1.0200000000000001E-4</c:v>
                </c:pt>
                <c:pt idx="4">
                  <c:v>1.0200000000000001E-4</c:v>
                </c:pt>
                <c:pt idx="5">
                  <c:v>1.0200000000000001E-4</c:v>
                </c:pt>
                <c:pt idx="6">
                  <c:v>1.0200000000000001E-4</c:v>
                </c:pt>
                <c:pt idx="7">
                  <c:v>1.0200000000000001E-4</c:v>
                </c:pt>
                <c:pt idx="8">
                  <c:v>1.0200000000000001E-4</c:v>
                </c:pt>
                <c:pt idx="9">
                  <c:v>1.0200000000000001E-4</c:v>
                </c:pt>
                <c:pt idx="10">
                  <c:v>1.0200000000000001E-4</c:v>
                </c:pt>
                <c:pt idx="11">
                  <c:v>1.0200000000000001E-4</c:v>
                </c:pt>
                <c:pt idx="12">
                  <c:v>1.0200000000000001E-4</c:v>
                </c:pt>
                <c:pt idx="13">
                  <c:v>1.0200000000000001E-4</c:v>
                </c:pt>
                <c:pt idx="14">
                  <c:v>1.0200000000000001E-4</c:v>
                </c:pt>
                <c:pt idx="15">
                  <c:v>1.0200000000000001E-4</c:v>
                </c:pt>
                <c:pt idx="16">
                  <c:v>1.0200000000000001E-4</c:v>
                </c:pt>
                <c:pt idx="17">
                  <c:v>1.0200000000000001E-4</c:v>
                </c:pt>
                <c:pt idx="18">
                  <c:v>1.0200000000000001E-4</c:v>
                </c:pt>
                <c:pt idx="19">
                  <c:v>1.0200000000000001E-4</c:v>
                </c:pt>
                <c:pt idx="20">
                  <c:v>1.0200000000000001E-4</c:v>
                </c:pt>
                <c:pt idx="21">
                  <c:v>1.0200000000000001E-4</c:v>
                </c:pt>
                <c:pt idx="22">
                  <c:v>1.0200000000000001E-4</c:v>
                </c:pt>
                <c:pt idx="23">
                  <c:v>1.0200000000000001E-4</c:v>
                </c:pt>
                <c:pt idx="24">
                  <c:v>1.0200000000000001E-4</c:v>
                </c:pt>
                <c:pt idx="25">
                  <c:v>1.0200000000000001E-4</c:v>
                </c:pt>
                <c:pt idx="26">
                  <c:v>1.0200000000000001E-4</c:v>
                </c:pt>
                <c:pt idx="27">
                  <c:v>1.0200000000000001E-4</c:v>
                </c:pt>
                <c:pt idx="28">
                  <c:v>1.0200000000000001E-4</c:v>
                </c:pt>
                <c:pt idx="29">
                  <c:v>1.0200000000000001E-4</c:v>
                </c:pt>
                <c:pt idx="30">
                  <c:v>1.0200000000000001E-4</c:v>
                </c:pt>
                <c:pt idx="31">
                  <c:v>1.0200000000000001E-4</c:v>
                </c:pt>
                <c:pt idx="32">
                  <c:v>1.0200000000000001E-4</c:v>
                </c:pt>
                <c:pt idx="33">
                  <c:v>1.0200000000000001E-4</c:v>
                </c:pt>
                <c:pt idx="34">
                  <c:v>1.0200000000000001E-4</c:v>
                </c:pt>
                <c:pt idx="35">
                  <c:v>1.0200000000000001E-4</c:v>
                </c:pt>
                <c:pt idx="36">
                  <c:v>1.0200000000000001E-4</c:v>
                </c:pt>
                <c:pt idx="37">
                  <c:v>1.0200000000000001E-4</c:v>
                </c:pt>
                <c:pt idx="38">
                  <c:v>1.0200000000000001E-4</c:v>
                </c:pt>
                <c:pt idx="39">
                  <c:v>1.0200000000000001E-4</c:v>
                </c:pt>
                <c:pt idx="40">
                  <c:v>1.0200000000000001E-4</c:v>
                </c:pt>
                <c:pt idx="41">
                  <c:v>1.0200000000000001E-4</c:v>
                </c:pt>
                <c:pt idx="42">
                  <c:v>1.0200000000000001E-4</c:v>
                </c:pt>
                <c:pt idx="43">
                  <c:v>1.0200000000000001E-4</c:v>
                </c:pt>
                <c:pt idx="44">
                  <c:v>1.0200000000000001E-4</c:v>
                </c:pt>
                <c:pt idx="45">
                  <c:v>1.0200000000000001E-4</c:v>
                </c:pt>
                <c:pt idx="46">
                  <c:v>1.0200000000000001E-4</c:v>
                </c:pt>
                <c:pt idx="47">
                  <c:v>1.0200000000000001E-4</c:v>
                </c:pt>
                <c:pt idx="48">
                  <c:v>1.0200000000000001E-4</c:v>
                </c:pt>
                <c:pt idx="49">
                  <c:v>1.0200000000000001E-4</c:v>
                </c:pt>
                <c:pt idx="50">
                  <c:v>1.0200000000000001E-4</c:v>
                </c:pt>
                <c:pt idx="51">
                  <c:v>1.0200000000000001E-4</c:v>
                </c:pt>
                <c:pt idx="52">
                  <c:v>1.0200000000000001E-4</c:v>
                </c:pt>
                <c:pt idx="53">
                  <c:v>1.0200000000000001E-4</c:v>
                </c:pt>
                <c:pt idx="54">
                  <c:v>1.0200000000000001E-4</c:v>
                </c:pt>
                <c:pt idx="55">
                  <c:v>1.0200000000000001E-4</c:v>
                </c:pt>
                <c:pt idx="56">
                  <c:v>1.0200000000000001E-4</c:v>
                </c:pt>
                <c:pt idx="57">
                  <c:v>1.0200000000000001E-4</c:v>
                </c:pt>
                <c:pt idx="58">
                  <c:v>1.0200000000000001E-4</c:v>
                </c:pt>
                <c:pt idx="59">
                  <c:v>1.0200000000000001E-4</c:v>
                </c:pt>
                <c:pt idx="60">
                  <c:v>1.0200000000000001E-4</c:v>
                </c:pt>
                <c:pt idx="61">
                  <c:v>1.0200000000000001E-4</c:v>
                </c:pt>
                <c:pt idx="62">
                  <c:v>1.0200000000000001E-4</c:v>
                </c:pt>
                <c:pt idx="63">
                  <c:v>1.0200000000000001E-4</c:v>
                </c:pt>
                <c:pt idx="64">
                  <c:v>1.0200000000000001E-4</c:v>
                </c:pt>
                <c:pt idx="65">
                  <c:v>1.0200000000000001E-4</c:v>
                </c:pt>
                <c:pt idx="66">
                  <c:v>1.0200000000000001E-4</c:v>
                </c:pt>
                <c:pt idx="67">
                  <c:v>1.0200000000000001E-4</c:v>
                </c:pt>
                <c:pt idx="68">
                  <c:v>1.0200000000000001E-4</c:v>
                </c:pt>
                <c:pt idx="69">
                  <c:v>1.0200000000000001E-4</c:v>
                </c:pt>
                <c:pt idx="70">
                  <c:v>1.0200000000000001E-4</c:v>
                </c:pt>
                <c:pt idx="71">
                  <c:v>1.0200000000000001E-4</c:v>
                </c:pt>
                <c:pt idx="72">
                  <c:v>1.0200000000000001E-4</c:v>
                </c:pt>
                <c:pt idx="73">
                  <c:v>1.0200000000000001E-4</c:v>
                </c:pt>
                <c:pt idx="74">
                  <c:v>1.0200000000000001E-4</c:v>
                </c:pt>
                <c:pt idx="75">
                  <c:v>1.0200000000000001E-4</c:v>
                </c:pt>
                <c:pt idx="76">
                  <c:v>1.0200000000000001E-4</c:v>
                </c:pt>
                <c:pt idx="77">
                  <c:v>1.0200000000000001E-4</c:v>
                </c:pt>
                <c:pt idx="78">
                  <c:v>1.0200000000000001E-4</c:v>
                </c:pt>
                <c:pt idx="79">
                  <c:v>1.0200000000000001E-4</c:v>
                </c:pt>
                <c:pt idx="80">
                  <c:v>1.0200000000000001E-4</c:v>
                </c:pt>
                <c:pt idx="81">
                  <c:v>1.0200000000000001E-4</c:v>
                </c:pt>
                <c:pt idx="82">
                  <c:v>1.0200000000000001E-4</c:v>
                </c:pt>
                <c:pt idx="83">
                  <c:v>1.0200000000000001E-4</c:v>
                </c:pt>
                <c:pt idx="84">
                  <c:v>1.0200000000000001E-4</c:v>
                </c:pt>
                <c:pt idx="85">
                  <c:v>1.0200000000000001E-4</c:v>
                </c:pt>
                <c:pt idx="86">
                  <c:v>1.0200000000000001E-4</c:v>
                </c:pt>
                <c:pt idx="87">
                  <c:v>1.0200000000000001E-4</c:v>
                </c:pt>
                <c:pt idx="88">
                  <c:v>1.0200000000000001E-4</c:v>
                </c:pt>
                <c:pt idx="89">
                  <c:v>1.0200000000000001E-4</c:v>
                </c:pt>
                <c:pt idx="90">
                  <c:v>1.0200000000000001E-4</c:v>
                </c:pt>
                <c:pt idx="91">
                  <c:v>1.0200000000000001E-4</c:v>
                </c:pt>
                <c:pt idx="92">
                  <c:v>1.0200000000000001E-4</c:v>
                </c:pt>
                <c:pt idx="93">
                  <c:v>1.0200000000000001E-4</c:v>
                </c:pt>
                <c:pt idx="94">
                  <c:v>1.0200000000000001E-4</c:v>
                </c:pt>
                <c:pt idx="95">
                  <c:v>1.0200000000000001E-4</c:v>
                </c:pt>
                <c:pt idx="96">
                  <c:v>1.0200000000000001E-4</c:v>
                </c:pt>
                <c:pt idx="97">
                  <c:v>1.0200000000000001E-4</c:v>
                </c:pt>
                <c:pt idx="98">
                  <c:v>1.0200000000000001E-4</c:v>
                </c:pt>
                <c:pt idx="99">
                  <c:v>1.0200000000000001E-4</c:v>
                </c:pt>
                <c:pt idx="100">
                  <c:v>1.0200000000000001E-4</c:v>
                </c:pt>
                <c:pt idx="101">
                  <c:v>1.0200000000000001E-4</c:v>
                </c:pt>
                <c:pt idx="102">
                  <c:v>1.0200000000000001E-4</c:v>
                </c:pt>
                <c:pt idx="103">
                  <c:v>1.0200000000000001E-4</c:v>
                </c:pt>
                <c:pt idx="104">
                  <c:v>1.0200000000000001E-4</c:v>
                </c:pt>
                <c:pt idx="105">
                  <c:v>1.0200000000000001E-4</c:v>
                </c:pt>
                <c:pt idx="106">
                  <c:v>1.0200000000000001E-4</c:v>
                </c:pt>
                <c:pt idx="107">
                  <c:v>1.0200000000000001E-4</c:v>
                </c:pt>
                <c:pt idx="108">
                  <c:v>1.0200000000000001E-4</c:v>
                </c:pt>
                <c:pt idx="109">
                  <c:v>1.0200000000000001E-4</c:v>
                </c:pt>
                <c:pt idx="110">
                  <c:v>1.0200000000000001E-4</c:v>
                </c:pt>
                <c:pt idx="111">
                  <c:v>1.0200000000000001E-4</c:v>
                </c:pt>
                <c:pt idx="112">
                  <c:v>1.0200000000000001E-4</c:v>
                </c:pt>
                <c:pt idx="113">
                  <c:v>1.0200000000000001E-4</c:v>
                </c:pt>
                <c:pt idx="114">
                  <c:v>1.0200000000000001E-4</c:v>
                </c:pt>
                <c:pt idx="115">
                  <c:v>1.0200000000000001E-4</c:v>
                </c:pt>
                <c:pt idx="116">
                  <c:v>1.0200000000000001E-4</c:v>
                </c:pt>
                <c:pt idx="117">
                  <c:v>1.0200000000000001E-4</c:v>
                </c:pt>
                <c:pt idx="118">
                  <c:v>1.0200000000000001E-4</c:v>
                </c:pt>
                <c:pt idx="119">
                  <c:v>1.0200000000000001E-4</c:v>
                </c:pt>
                <c:pt idx="120">
                  <c:v>1.0200000000000001E-4</c:v>
                </c:pt>
                <c:pt idx="121">
                  <c:v>1.0200000000000001E-4</c:v>
                </c:pt>
                <c:pt idx="122">
                  <c:v>1.0200000000000001E-4</c:v>
                </c:pt>
                <c:pt idx="123">
                  <c:v>1.0200000000000001E-4</c:v>
                </c:pt>
                <c:pt idx="124">
                  <c:v>1.0200000000000001E-4</c:v>
                </c:pt>
                <c:pt idx="125">
                  <c:v>1.0200000000000001E-4</c:v>
                </c:pt>
                <c:pt idx="126">
                  <c:v>1.0200000000000001E-4</c:v>
                </c:pt>
                <c:pt idx="127">
                  <c:v>1.0200000000000001E-4</c:v>
                </c:pt>
                <c:pt idx="128">
                  <c:v>1.0200000000000001E-4</c:v>
                </c:pt>
                <c:pt idx="129">
                  <c:v>1.0200000000000001E-4</c:v>
                </c:pt>
                <c:pt idx="130">
                  <c:v>1.0200000000000001E-4</c:v>
                </c:pt>
                <c:pt idx="131">
                  <c:v>1.0200000000000001E-4</c:v>
                </c:pt>
                <c:pt idx="132">
                  <c:v>1.0200000000000001E-4</c:v>
                </c:pt>
                <c:pt idx="133">
                  <c:v>1.0200000000000001E-4</c:v>
                </c:pt>
                <c:pt idx="134">
                  <c:v>1.0200000000000001E-4</c:v>
                </c:pt>
                <c:pt idx="135">
                  <c:v>1.0200000000000001E-4</c:v>
                </c:pt>
                <c:pt idx="136">
                  <c:v>1.0200000000000001E-4</c:v>
                </c:pt>
                <c:pt idx="137">
                  <c:v>1.0200000000000001E-4</c:v>
                </c:pt>
                <c:pt idx="138">
                  <c:v>1.0200000000000001E-4</c:v>
                </c:pt>
                <c:pt idx="139">
                  <c:v>1.0200000000000001E-4</c:v>
                </c:pt>
                <c:pt idx="140">
                  <c:v>1.0200000000000001E-4</c:v>
                </c:pt>
                <c:pt idx="141">
                  <c:v>1.0200000000000001E-4</c:v>
                </c:pt>
                <c:pt idx="142">
                  <c:v>1.0200000000000001E-4</c:v>
                </c:pt>
                <c:pt idx="143">
                  <c:v>1.0200000000000001E-4</c:v>
                </c:pt>
                <c:pt idx="144">
                  <c:v>1.0200000000000001E-4</c:v>
                </c:pt>
                <c:pt idx="145">
                  <c:v>1.0200000000000001E-4</c:v>
                </c:pt>
                <c:pt idx="146">
                  <c:v>1.0200000000000001E-4</c:v>
                </c:pt>
                <c:pt idx="147">
                  <c:v>1.0200000000000001E-4</c:v>
                </c:pt>
                <c:pt idx="148">
                  <c:v>1.0200000000000001E-4</c:v>
                </c:pt>
                <c:pt idx="149">
                  <c:v>1.0200000000000001E-4</c:v>
                </c:pt>
                <c:pt idx="150">
                  <c:v>1.0200000000000001E-4</c:v>
                </c:pt>
                <c:pt idx="151">
                  <c:v>1.0200000000000001E-4</c:v>
                </c:pt>
                <c:pt idx="152">
                  <c:v>1.0200000000000001E-4</c:v>
                </c:pt>
                <c:pt idx="153">
                  <c:v>1.0200000000000001E-4</c:v>
                </c:pt>
                <c:pt idx="154">
                  <c:v>1.0200000000000001E-4</c:v>
                </c:pt>
                <c:pt idx="155">
                  <c:v>1.0200000000000001E-4</c:v>
                </c:pt>
                <c:pt idx="156">
                  <c:v>1.0200000000000001E-4</c:v>
                </c:pt>
                <c:pt idx="157">
                  <c:v>1.0200000000000001E-4</c:v>
                </c:pt>
                <c:pt idx="158">
                  <c:v>1.0200000000000001E-4</c:v>
                </c:pt>
                <c:pt idx="159">
                  <c:v>1.0200000000000001E-4</c:v>
                </c:pt>
                <c:pt idx="160">
                  <c:v>1.0200000000000001E-4</c:v>
                </c:pt>
                <c:pt idx="161">
                  <c:v>1.0200000000000001E-4</c:v>
                </c:pt>
                <c:pt idx="162">
                  <c:v>1.0200000000000001E-4</c:v>
                </c:pt>
                <c:pt idx="163">
                  <c:v>1.0200000000000001E-4</c:v>
                </c:pt>
                <c:pt idx="164">
                  <c:v>1.0200000000000001E-4</c:v>
                </c:pt>
                <c:pt idx="165">
                  <c:v>1.0200000000000001E-4</c:v>
                </c:pt>
                <c:pt idx="166">
                  <c:v>1.0200000000000001E-4</c:v>
                </c:pt>
                <c:pt idx="167">
                  <c:v>1.0200000000000001E-4</c:v>
                </c:pt>
                <c:pt idx="168">
                  <c:v>1.0200000000000001E-4</c:v>
                </c:pt>
                <c:pt idx="169">
                  <c:v>1.0200000000000001E-4</c:v>
                </c:pt>
                <c:pt idx="170">
                  <c:v>1.0200000000000001E-4</c:v>
                </c:pt>
                <c:pt idx="171">
                  <c:v>1.0200000000000001E-4</c:v>
                </c:pt>
                <c:pt idx="172">
                  <c:v>1.0200000000000001E-4</c:v>
                </c:pt>
                <c:pt idx="173">
                  <c:v>1.0200000000000001E-4</c:v>
                </c:pt>
                <c:pt idx="174">
                  <c:v>1.0200000000000001E-4</c:v>
                </c:pt>
                <c:pt idx="175">
                  <c:v>1.0200000000000001E-4</c:v>
                </c:pt>
                <c:pt idx="176">
                  <c:v>1.0200000000000001E-4</c:v>
                </c:pt>
                <c:pt idx="177">
                  <c:v>1.0200000000000001E-4</c:v>
                </c:pt>
                <c:pt idx="178">
                  <c:v>1.0200000000000001E-4</c:v>
                </c:pt>
                <c:pt idx="179">
                  <c:v>1.0200000000000001E-4</c:v>
                </c:pt>
                <c:pt idx="180">
                  <c:v>1.0200000000000001E-4</c:v>
                </c:pt>
                <c:pt idx="181">
                  <c:v>1.0200000000000001E-4</c:v>
                </c:pt>
                <c:pt idx="182">
                  <c:v>1.0200000000000001E-4</c:v>
                </c:pt>
                <c:pt idx="183">
                  <c:v>1.0200000000000001E-4</c:v>
                </c:pt>
                <c:pt idx="184">
                  <c:v>1.0200000000000001E-4</c:v>
                </c:pt>
                <c:pt idx="185">
                  <c:v>1.0200000000000001E-4</c:v>
                </c:pt>
                <c:pt idx="186">
                  <c:v>1.0200000000000001E-4</c:v>
                </c:pt>
                <c:pt idx="187">
                  <c:v>1.0200000000000001E-4</c:v>
                </c:pt>
                <c:pt idx="188">
                  <c:v>1.0200000000000001E-4</c:v>
                </c:pt>
                <c:pt idx="189">
                  <c:v>1.0200000000000001E-4</c:v>
                </c:pt>
                <c:pt idx="190">
                  <c:v>1.0200000000000001E-4</c:v>
                </c:pt>
                <c:pt idx="191">
                  <c:v>1.0200000000000001E-4</c:v>
                </c:pt>
                <c:pt idx="192">
                  <c:v>1.0200000000000001E-4</c:v>
                </c:pt>
                <c:pt idx="193">
                  <c:v>1.0200000000000001E-4</c:v>
                </c:pt>
                <c:pt idx="194">
                  <c:v>1.0200000000000001E-4</c:v>
                </c:pt>
                <c:pt idx="195">
                  <c:v>1.0200000000000001E-4</c:v>
                </c:pt>
                <c:pt idx="196">
                  <c:v>1.0200000000000001E-4</c:v>
                </c:pt>
                <c:pt idx="197">
                  <c:v>1.0200000000000001E-4</c:v>
                </c:pt>
                <c:pt idx="198">
                  <c:v>1.0200000000000001E-4</c:v>
                </c:pt>
                <c:pt idx="199">
                  <c:v>1.0200000000000001E-4</c:v>
                </c:pt>
                <c:pt idx="200">
                  <c:v>1.0200000000000001E-4</c:v>
                </c:pt>
                <c:pt idx="201">
                  <c:v>1.0200000000000001E-4</c:v>
                </c:pt>
                <c:pt idx="202">
                  <c:v>1.0200000000000001E-4</c:v>
                </c:pt>
                <c:pt idx="203">
                  <c:v>1.0200000000000001E-4</c:v>
                </c:pt>
                <c:pt idx="204">
                  <c:v>1.0200000000000001E-4</c:v>
                </c:pt>
                <c:pt idx="205">
                  <c:v>1.0200000000000001E-4</c:v>
                </c:pt>
                <c:pt idx="206">
                  <c:v>1.0200000000000001E-4</c:v>
                </c:pt>
                <c:pt idx="207">
                  <c:v>1.0200000000000001E-4</c:v>
                </c:pt>
                <c:pt idx="208">
                  <c:v>1.0200000000000001E-4</c:v>
                </c:pt>
                <c:pt idx="209">
                  <c:v>1.0200000000000001E-4</c:v>
                </c:pt>
                <c:pt idx="210">
                  <c:v>1.0200000000000001E-4</c:v>
                </c:pt>
                <c:pt idx="211">
                  <c:v>1.0200000000000001E-4</c:v>
                </c:pt>
                <c:pt idx="212">
                  <c:v>1.0200000000000001E-4</c:v>
                </c:pt>
                <c:pt idx="213">
                  <c:v>1.0200000000000001E-4</c:v>
                </c:pt>
                <c:pt idx="214">
                  <c:v>1.0200000000000001E-4</c:v>
                </c:pt>
                <c:pt idx="215">
                  <c:v>1.0200000000000001E-4</c:v>
                </c:pt>
                <c:pt idx="216">
                  <c:v>1.0200000000000001E-4</c:v>
                </c:pt>
                <c:pt idx="217">
                  <c:v>1.0200000000000001E-4</c:v>
                </c:pt>
                <c:pt idx="218">
                  <c:v>1.0200000000000001E-4</c:v>
                </c:pt>
                <c:pt idx="219">
                  <c:v>1.0200000000000001E-4</c:v>
                </c:pt>
                <c:pt idx="220">
                  <c:v>1.0200000000000001E-4</c:v>
                </c:pt>
                <c:pt idx="221">
                  <c:v>1.0200000000000001E-4</c:v>
                </c:pt>
                <c:pt idx="222">
                  <c:v>1.0200000000000001E-4</c:v>
                </c:pt>
                <c:pt idx="223">
                  <c:v>1.0200000000000001E-4</c:v>
                </c:pt>
                <c:pt idx="224">
                  <c:v>1.0200000000000001E-4</c:v>
                </c:pt>
                <c:pt idx="225">
                  <c:v>1.0200000000000001E-4</c:v>
                </c:pt>
                <c:pt idx="226">
                  <c:v>1.0200000000000001E-4</c:v>
                </c:pt>
                <c:pt idx="227">
                  <c:v>1.0200000000000001E-4</c:v>
                </c:pt>
                <c:pt idx="228">
                  <c:v>1.0200000000000001E-4</c:v>
                </c:pt>
                <c:pt idx="229">
                  <c:v>1.0200000000000001E-4</c:v>
                </c:pt>
                <c:pt idx="230">
                  <c:v>1.0200000000000001E-4</c:v>
                </c:pt>
                <c:pt idx="231">
                  <c:v>1.0200000000000001E-4</c:v>
                </c:pt>
                <c:pt idx="232">
                  <c:v>1.0200000000000001E-4</c:v>
                </c:pt>
                <c:pt idx="233">
                  <c:v>1.0200000000000001E-4</c:v>
                </c:pt>
                <c:pt idx="234">
                  <c:v>1.0200000000000001E-4</c:v>
                </c:pt>
                <c:pt idx="235">
                  <c:v>1.0200000000000001E-4</c:v>
                </c:pt>
                <c:pt idx="236">
                  <c:v>1.0200000000000001E-4</c:v>
                </c:pt>
                <c:pt idx="237">
                  <c:v>1.0200000000000001E-4</c:v>
                </c:pt>
                <c:pt idx="238">
                  <c:v>1.0200000000000001E-4</c:v>
                </c:pt>
                <c:pt idx="239">
                  <c:v>1.0200000000000001E-4</c:v>
                </c:pt>
                <c:pt idx="240">
                  <c:v>1.0200000000000001E-4</c:v>
                </c:pt>
                <c:pt idx="241">
                  <c:v>1.0200000000000001E-4</c:v>
                </c:pt>
                <c:pt idx="242">
                  <c:v>1.0200000000000001E-4</c:v>
                </c:pt>
                <c:pt idx="243">
                  <c:v>1.0200000000000001E-4</c:v>
                </c:pt>
                <c:pt idx="244">
                  <c:v>1.0200000000000001E-4</c:v>
                </c:pt>
                <c:pt idx="245">
                  <c:v>1.0200000000000001E-4</c:v>
                </c:pt>
                <c:pt idx="246">
                  <c:v>1.0200000000000001E-4</c:v>
                </c:pt>
                <c:pt idx="247">
                  <c:v>1.0200000000000001E-4</c:v>
                </c:pt>
                <c:pt idx="248">
                  <c:v>1.0200000000000001E-4</c:v>
                </c:pt>
                <c:pt idx="249">
                  <c:v>1.0200000000000001E-4</c:v>
                </c:pt>
                <c:pt idx="250">
                  <c:v>1.0200000000000001E-4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C6-4E24-8777-8EB719A0061F}"/>
            </c:ext>
          </c:extLst>
        </c:ser>
        <c:ser>
          <c:idx val="4"/>
          <c:order val="3"/>
          <c:tx>
            <c:strRef>
              <c:f>CALCULATIONS!$J$7</c:f>
              <c:strCache>
                <c:ptCount val="1"/>
                <c:pt idx="0">
                  <c:v>bb (/m)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CALCULATIONS!$A$8:$A$258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CALCULATIONS!$J$8:$J$258</c:f>
              <c:numCache>
                <c:formatCode>0.0000</c:formatCode>
                <c:ptCount val="251"/>
                <c:pt idx="0">
                  <c:v>4.0785376777728302E-3</c:v>
                </c:pt>
                <c:pt idx="1">
                  <c:v>3.9970448570815055E-3</c:v>
                </c:pt>
                <c:pt idx="2">
                  <c:v>3.9176650924881602E-3</c:v>
                </c:pt>
                <c:pt idx="3">
                  <c:v>3.8403332998202771E-3</c:v>
                </c:pt>
                <c:pt idx="4">
                  <c:v>3.7649867087621884E-3</c:v>
                </c:pt>
                <c:pt idx="5">
                  <c:v>3.6915647697576431E-3</c:v>
                </c:pt>
                <c:pt idx="6">
                  <c:v>3.6200090650891359E-3</c:v>
                </c:pt>
                <c:pt idx="7">
                  <c:v>3.5502632239274561E-3</c:v>
                </c:pt>
                <c:pt idx="8">
                  <c:v>3.4822728411560838E-3</c:v>
                </c:pt>
                <c:pt idx="9">
                  <c:v>3.4159853997855769E-3</c:v>
                </c:pt>
                <c:pt idx="10">
                  <c:v>3.3513501967829314E-3</c:v>
                </c:pt>
                <c:pt idx="11">
                  <c:v>3.2883182721502552E-3</c:v>
                </c:pt>
                <c:pt idx="12">
                  <c:v>3.2268423410958345E-3</c:v>
                </c:pt>
                <c:pt idx="13">
                  <c:v>3.1668767291489859E-3</c:v>
                </c:pt>
                <c:pt idx="14">
                  <c:v>3.1083773100778404E-3</c:v>
                </c:pt>
                <c:pt idx="15">
                  <c:v>3.0513014464765989E-3</c:v>
                </c:pt>
                <c:pt idx="16">
                  <c:v>2.9956079328957268E-3</c:v>
                </c:pt>
                <c:pt idx="17">
                  <c:v>2.941256941395097E-3</c:v>
                </c:pt>
                <c:pt idx="18">
                  <c:v>2.888209969406281E-3</c:v>
                </c:pt>
                <c:pt idx="19">
                  <c:v>2.836429789796026E-3</c:v>
                </c:pt>
                <c:pt idx="20">
                  <c:v>2.7858804030284619E-3</c:v>
                </c:pt>
                <c:pt idx="21">
                  <c:v>2.7365269913287972E-3</c:v>
                </c:pt>
                <c:pt idx="22">
                  <c:v>2.6883358747561725E-3</c:v>
                </c:pt>
                <c:pt idx="23">
                  <c:v>2.6412744690980047E-3</c:v>
                </c:pt>
                <c:pt idx="24">
                  <c:v>2.5953112455025444E-3</c:v>
                </c:pt>
                <c:pt idx="25">
                  <c:v>2.5504156917705257E-3</c:v>
                </c:pt>
                <c:pt idx="26">
                  <c:v>2.5065582752307231E-3</c:v>
                </c:pt>
                <c:pt idx="27">
                  <c:v>2.4637104071279581E-3</c:v>
                </c:pt>
                <c:pt idx="28">
                  <c:v>2.421844408455606E-3</c:v>
                </c:pt>
                <c:pt idx="29">
                  <c:v>2.3809334771679974E-3</c:v>
                </c:pt>
                <c:pt idx="30">
                  <c:v>2.3409516567112626E-3</c:v>
                </c:pt>
                <c:pt idx="31">
                  <c:v>2.3018738058141574E-3</c:v>
                </c:pt>
                <c:pt idx="32">
                  <c:v>2.2636755694832337E-3</c:v>
                </c:pt>
                <c:pt idx="33">
                  <c:v>2.2263333511494173E-3</c:v>
                </c:pt>
                <c:pt idx="34">
                  <c:v>2.1898242859155707E-3</c:v>
                </c:pt>
                <c:pt idx="35">
                  <c:v>2.1541262148570659E-3</c:v>
                </c:pt>
                <c:pt idx="36">
                  <c:v>2.1192176603296413E-3</c:v>
                </c:pt>
                <c:pt idx="37">
                  <c:v>2.0850778022410122E-3</c:v>
                </c:pt>
                <c:pt idx="38">
                  <c:v>2.0516864552447408E-3</c:v>
                </c:pt>
                <c:pt idx="39">
                  <c:v>2.0190240468168368E-3</c:v>
                </c:pt>
                <c:pt idx="40">
                  <c:v>1.9870715961774017E-3</c:v>
                </c:pt>
                <c:pt idx="41">
                  <c:v>1.9558106940213925E-3</c:v>
                </c:pt>
                <c:pt idx="42">
                  <c:v>1.9252234830242471E-3</c:v>
                </c:pt>
                <c:pt idx="43">
                  <c:v>1.8952926390896989E-3</c:v>
                </c:pt>
                <c:pt idx="44">
                  <c:v>1.866001353308616E-3</c:v>
                </c:pt>
                <c:pt idx="45">
                  <c:v>1.8373333145991187E-3</c:v>
                </c:pt>
                <c:pt idx="46">
                  <c:v>1.8092726929996082E-3</c:v>
                </c:pt>
                <c:pt idx="47">
                  <c:v>1.781804123587612E-3</c:v>
                </c:pt>
                <c:pt idx="48">
                  <c:v>1.754912690998589E-3</c:v>
                </c:pt>
                <c:pt idx="49">
                  <c:v>1.7285839145200019E-3</c:v>
                </c:pt>
                <c:pt idx="50">
                  <c:v>1.7028037337370784E-3</c:v>
                </c:pt>
                <c:pt idx="51">
                  <c:v>1.6775584947077322E-3</c:v>
                </c:pt>
                <c:pt idx="52">
                  <c:v>1.6528349366451273E-3</c:v>
                </c:pt>
                <c:pt idx="53">
                  <c:v>1.6286201790873165E-3</c:v>
                </c:pt>
                <c:pt idx="54">
                  <c:v>1.6049017095343102E-3</c:v>
                </c:pt>
                <c:pt idx="55">
                  <c:v>1.5816673715337781E-3</c:v>
                </c:pt>
                <c:pt idx="56">
                  <c:v>1.5589053531974272E-3</c:v>
                </c:pt>
                <c:pt idx="57">
                  <c:v>1.5366041761308829E-3</c:v>
                </c:pt>
                <c:pt idx="58">
                  <c:v>1.5147526847606372E-3</c:v>
                </c:pt>
                <c:pt idx="59">
                  <c:v>1.4933400360423604E-3</c:v>
                </c:pt>
                <c:pt idx="60">
                  <c:v>1.4723556895355325E-3</c:v>
                </c:pt>
                <c:pt idx="61">
                  <c:v>1.4517893978300161E-3</c:v>
                </c:pt>
                <c:pt idx="62">
                  <c:v>1.4316311973107934E-3</c:v>
                </c:pt>
                <c:pt idx="63">
                  <c:v>1.4118713992476908E-3</c:v>
                </c:pt>
                <c:pt idx="64">
                  <c:v>1.3925005811974756E-3</c:v>
                </c:pt>
                <c:pt idx="65">
                  <c:v>1.3735095787062346E-3</c:v>
                </c:pt>
                <c:pt idx="66">
                  <c:v>1.3548894773004639E-3</c:v>
                </c:pt>
                <c:pt idx="67">
                  <c:v>1.3366316047557884E-3</c:v>
                </c:pt>
                <c:pt idx="68">
                  <c:v>1.3187275236326895E-3</c:v>
                </c:pt>
                <c:pt idx="69">
                  <c:v>1.3011690240690591E-3</c:v>
                </c:pt>
                <c:pt idx="70">
                  <c:v>1.2839481168198386E-3</c:v>
                </c:pt>
                <c:pt idx="71">
                  <c:v>1.2670570265343856E-3</c:v>
                </c:pt>
                <c:pt idx="72">
                  <c:v>1.2504881852626157E-3</c:v>
                </c:pt>
                <c:pt idx="73">
                  <c:v>1.2342342261813188E-3</c:v>
                </c:pt>
                <c:pt idx="74">
                  <c:v>1.2182879775324217E-3</c:v>
                </c:pt>
                <c:pt idx="75">
                  <c:v>1.2026424567652858E-3</c:v>
                </c:pt>
                <c:pt idx="76">
                  <c:v>1.1872908648754665E-3</c:v>
                </c:pt>
                <c:pt idx="77">
                  <c:v>1.1722265809326563E-3</c:v>
                </c:pt>
                <c:pt idx="78">
                  <c:v>1.1574431567908416E-3</c:v>
                </c:pt>
                <c:pt idx="79">
                  <c:v>1.1429343119739683E-3</c:v>
                </c:pt>
                <c:pt idx="80">
                  <c:v>1.1286939287306957E-3</c:v>
                </c:pt>
                <c:pt idx="81">
                  <c:v>1.1147160472520642E-3</c:v>
                </c:pt>
                <c:pt idx="82">
                  <c:v>1.1009948610461557E-3</c:v>
                </c:pt>
                <c:pt idx="83">
                  <c:v>1.087524712464054E-3</c:v>
                </c:pt>
                <c:pt idx="84">
                  <c:v>1.0743000883716518E-3</c:v>
                </c:pt>
                <c:pt idx="85">
                  <c:v>1.0613156159620417E-3</c:v>
                </c:pt>
                <c:pt idx="86">
                  <c:v>1.048566058703466E-3</c:v>
                </c:pt>
                <c:pt idx="87">
                  <c:v>1.0360463124179692E-3</c:v>
                </c:pt>
                <c:pt idx="88">
                  <c:v>1.0237514014861083E-3</c:v>
                </c:pt>
                <c:pt idx="89">
                  <c:v>1.0116764751732401E-3</c:v>
                </c:pt>
                <c:pt idx="90">
                  <c:v>9.9981680407309472E-4</c:v>
                </c:pt>
                <c:pt idx="91">
                  <c:v>9.8816777666449192E-4</c:v>
                </c:pt>
                <c:pt idx="92">
                  <c:v>9.7672489597723532E-4</c:v>
                </c:pt>
                <c:pt idx="93">
                  <c:v>9.6548377636335875E-4</c:v>
                </c:pt>
                <c:pt idx="94">
                  <c:v>9.5444014037004911E-4</c:v>
                </c:pt>
                <c:pt idx="95">
                  <c:v>9.4358981571071262E-4</c:v>
                </c:pt>
                <c:pt idx="96">
                  <c:v>9.3292873233078387E-4</c:v>
                </c:pt>
                <c:pt idx="97">
                  <c:v>9.2245291956500523E-4</c:v>
                </c:pt>
                <c:pt idx="98">
                  <c:v>9.1215850338302704E-4</c:v>
                </c:pt>
                <c:pt idx="99">
                  <c:v>9.0204170372030384E-4</c:v>
                </c:pt>
                <c:pt idx="100">
                  <c:v>8.9209883189136257E-4</c:v>
                </c:pt>
                <c:pt idx="101">
                  <c:v>8.8232628808264531E-4</c:v>
                </c:pt>
                <c:pt idx="102">
                  <c:v>8.7272055892221527E-4</c:v>
                </c:pt>
                <c:pt idx="103">
                  <c:v>8.6327821512373001E-4</c:v>
                </c:pt>
                <c:pt idx="104">
                  <c:v>8.5399590920217326E-4</c:v>
                </c:pt>
                <c:pt idx="105">
                  <c:v>8.4487037325893337E-4</c:v>
                </c:pt>
                <c:pt idx="106">
                  <c:v>8.3589841683390221E-4</c:v>
                </c:pt>
                <c:pt idx="107">
                  <c:v>8.2707692482235796E-4</c:v>
                </c:pt>
                <c:pt idx="108">
                  <c:v>8.1840285545447091E-4</c:v>
                </c:pt>
                <c:pt idx="109">
                  <c:v>8.0987323833535657E-4</c:v>
                </c:pt>
                <c:pt idx="110">
                  <c:v>8.0148517254367054E-4</c:v>
                </c:pt>
                <c:pt idx="111">
                  <c:v>7.9323582478681457E-4</c:v>
                </c:pt>
                <c:pt idx="112">
                  <c:v>7.8512242761089306E-4</c:v>
                </c:pt>
                <c:pt idx="113">
                  <c:v>7.7714227766362634E-4</c:v>
                </c:pt>
                <c:pt idx="114">
                  <c:v>7.6929273400848841E-4</c:v>
                </c:pt>
                <c:pt idx="115">
                  <c:v>7.6157121648840235E-4</c:v>
                </c:pt>
                <c:pt idx="116">
                  <c:v>7.5397520413738586E-4</c:v>
                </c:pt>
                <c:pt idx="117">
                  <c:v>7.4650223363859276E-4</c:v>
                </c:pt>
                <c:pt idx="118">
                  <c:v>7.391498978272555E-4</c:v>
                </c:pt>
                <c:pt idx="119">
                  <c:v>7.3191584423708299E-4</c:v>
                </c:pt>
                <c:pt idx="120">
                  <c:v>7.2479777368872323E-4</c:v>
                </c:pt>
                <c:pt idx="121">
                  <c:v>7.1779343891894426E-4</c:v>
                </c:pt>
                <c:pt idx="122">
                  <c:v>7.1090064324923674E-4</c:v>
                </c:pt>
                <c:pt idx="123">
                  <c:v>7.0411723929258529E-4</c:v>
                </c:pt>
                <c:pt idx="124">
                  <c:v>6.9744112769720332E-4</c:v>
                </c:pt>
                <c:pt idx="125">
                  <c:v>6.908702559260591E-4</c:v>
                </c:pt>
                <c:pt idx="126">
                  <c:v>6.8440261707107119E-4</c:v>
                </c:pt>
                <c:pt idx="127">
                  <c:v>6.7803624870088467E-4</c:v>
                </c:pt>
                <c:pt idx="128">
                  <c:v>6.7176923174117509E-4</c:v>
                </c:pt>
                <c:pt idx="129">
                  <c:v>6.6559968938647044E-4</c:v>
                </c:pt>
                <c:pt idx="130">
                  <c:v>6.5952578604250528E-4</c:v>
                </c:pt>
                <c:pt idx="131">
                  <c:v>6.5354572629816848E-4</c:v>
                </c:pt>
                <c:pt idx="132">
                  <c:v>6.4765775392612113E-4</c:v>
                </c:pt>
                <c:pt idx="133">
                  <c:v>6.4186015091120862E-4</c:v>
                </c:pt>
                <c:pt idx="134">
                  <c:v>6.3615123650580957E-4</c:v>
                </c:pt>
                <c:pt idx="135">
                  <c:v>6.3052936631129652E-4</c:v>
                </c:pt>
                <c:pt idx="136">
                  <c:v>6.2499293138481313E-4</c:v>
                </c:pt>
                <c:pt idx="137">
                  <c:v>6.1954035737059473E-4</c:v>
                </c:pt>
                <c:pt idx="138">
                  <c:v>6.1417010365508878E-4</c:v>
                </c:pt>
                <c:pt idx="139">
                  <c:v>6.0888066254515406E-4</c:v>
                </c:pt>
                <c:pt idx="140">
                  <c:v>6.0367055846864324E-4</c:v>
                </c:pt>
                <c:pt idx="141">
                  <c:v>5.9853834719669405E-4</c:v>
                </c:pt>
                <c:pt idx="142">
                  <c:v>5.9348261508707762E-4</c:v>
                </c:pt>
                <c:pt idx="143">
                  <c:v>5.8850197834797681E-4</c:v>
                </c:pt>
                <c:pt idx="144">
                  <c:v>5.8359508232158055E-4</c:v>
                </c:pt>
                <c:pt idx="145">
                  <c:v>5.7876060078690937E-4</c:v>
                </c:pt>
                <c:pt idx="146">
                  <c:v>5.7399723528129946E-4</c:v>
                </c:pt>
                <c:pt idx="147">
                  <c:v>5.6930371443999356E-4</c:v>
                </c:pt>
                <c:pt idx="148">
                  <c:v>5.6467879335330557E-4</c:v>
                </c:pt>
                <c:pt idx="149">
                  <c:v>5.6012125294084125E-4</c:v>
                </c:pt>
                <c:pt idx="150">
                  <c:v>5.556298993422763E-4</c:v>
                </c:pt>
                <c:pt idx="151">
                  <c:v>5.5120356332420738E-4</c:v>
                </c:pt>
                <c:pt idx="152">
                  <c:v>5.4684109970260615E-4</c:v>
                </c:pt>
                <c:pt idx="153">
                  <c:v>5.4254138678042367E-4</c:v>
                </c:pt>
                <c:pt idx="154">
                  <c:v>5.3830332579990893E-4</c:v>
                </c:pt>
                <c:pt idx="155">
                  <c:v>5.3412584040920977E-4</c:v>
                </c:pt>
                <c:pt idx="156">
                  <c:v>5.3000787614285064E-4</c:v>
                </c:pt>
                <c:pt idx="157">
                  <c:v>5.2594839991568557E-4</c:v>
                </c:pt>
                <c:pt idx="158">
                  <c:v>5.2194639952994008E-4</c:v>
                </c:pt>
                <c:pt idx="159">
                  <c:v>5.1800088319496845E-4</c:v>
                </c:pt>
                <c:pt idx="160">
                  <c:v>5.141108790593646E-4</c:v>
                </c:pt>
                <c:pt idx="161">
                  <c:v>5.1027543475507333E-4</c:v>
                </c:pt>
                <c:pt idx="162">
                  <c:v>5.0649361695316402E-4</c:v>
                </c:pt>
                <c:pt idx="163">
                  <c:v>5.0276451093093585E-4</c:v>
                </c:pt>
                <c:pt idx="164">
                  <c:v>4.9908722015003573E-4</c:v>
                </c:pt>
                <c:pt idx="165">
                  <c:v>4.9546086584527902E-4</c:v>
                </c:pt>
                <c:pt idx="166">
                  <c:v>4.9188458662387203E-4</c:v>
                </c:pt>
                <c:pt idx="167">
                  <c:v>4.883575380747482E-4</c:v>
                </c:pt>
                <c:pt idx="168">
                  <c:v>4.8487889238773229E-4</c:v>
                </c:pt>
                <c:pt idx="169">
                  <c:v>4.814478379822632E-4</c:v>
                </c:pt>
                <c:pt idx="170">
                  <c:v>4.7806357914540571E-4</c:v>
                </c:pt>
                <c:pt idx="171">
                  <c:v>4.7472533567889978E-4</c:v>
                </c:pt>
                <c:pt idx="172">
                  <c:v>4.7143234255499244E-4</c:v>
                </c:pt>
                <c:pt idx="173">
                  <c:v>4.6818384958081504E-4</c:v>
                </c:pt>
                <c:pt idx="174">
                  <c:v>4.6497912107106953E-4</c:v>
                </c:pt>
                <c:pt idx="175">
                  <c:v>4.6181743552879532E-4</c:v>
                </c:pt>
                <c:pt idx="176">
                  <c:v>4.5869808533399899E-4</c:v>
                </c:pt>
                <c:pt idx="177">
                  <c:v>4.5562037643993077E-4</c:v>
                </c:pt>
                <c:pt idx="178">
                  <c:v>4.5258362807680053E-4</c:v>
                </c:pt>
                <c:pt idx="179">
                  <c:v>4.495871724627318E-4</c:v>
                </c:pt>
                <c:pt idx="180">
                  <c:v>4.4663035452175922E-4</c:v>
                </c:pt>
                <c:pt idx="181">
                  <c:v>4.4371253160867903E-4</c:v>
                </c:pt>
                <c:pt idx="182">
                  <c:v>4.4083307324056841E-4</c:v>
                </c:pt>
                <c:pt idx="183">
                  <c:v>4.3799136083479454E-4</c:v>
                </c:pt>
                <c:pt idx="184">
                  <c:v>4.3518678745334239E-4</c:v>
                </c:pt>
                <c:pt idx="185">
                  <c:v>4.324187575532885E-4</c:v>
                </c:pt>
                <c:pt idx="186">
                  <c:v>4.296866867432626E-4</c:v>
                </c:pt>
                <c:pt idx="187">
                  <c:v>4.2699000154573341E-4</c:v>
                </c:pt>
                <c:pt idx="188">
                  <c:v>4.2432813916496749E-4</c:v>
                </c:pt>
                <c:pt idx="189">
                  <c:v>4.2170054726051176E-4</c:v>
                </c:pt>
                <c:pt idx="190">
                  <c:v>4.191066837260514E-4</c:v>
                </c:pt>
                <c:pt idx="191">
                  <c:v>4.16546016473506E-4</c:v>
                </c:pt>
                <c:pt idx="192">
                  <c:v>4.1401802322222313E-4</c:v>
                </c:pt>
                <c:pt idx="193">
                  <c:v>4.1152219129313953E-4</c:v>
                </c:pt>
                <c:pt idx="194">
                  <c:v>4.0905801740777738E-4</c:v>
                </c:pt>
                <c:pt idx="195">
                  <c:v>4.06625007491953E-4</c:v>
                </c:pt>
                <c:pt idx="196">
                  <c:v>4.0422267648407382E-4</c:v>
                </c:pt>
                <c:pt idx="197">
                  <c:v>4.0185054814790579E-4</c:v>
                </c:pt>
                <c:pt idx="198">
                  <c:v>3.9950815488969539E-4</c:v>
                </c:pt>
                <c:pt idx="199">
                  <c:v>3.9719503757953609E-4</c:v>
                </c:pt>
                <c:pt idx="200">
                  <c:v>3.9491074537686749E-4</c:v>
                </c:pt>
                <c:pt idx="201">
                  <c:v>3.9265483556000398E-4</c:v>
                </c:pt>
                <c:pt idx="202">
                  <c:v>3.9042687335958813E-4</c:v>
                </c:pt>
                <c:pt idx="203">
                  <c:v>3.8822643179587074E-4</c:v>
                </c:pt>
                <c:pt idx="204">
                  <c:v>3.860530915197188E-4</c:v>
                </c:pt>
                <c:pt idx="205">
                  <c:v>3.8390644065725672E-4</c:v>
                </c:pt>
                <c:pt idx="206">
                  <c:v>3.8178607465805183E-4</c:v>
                </c:pt>
                <c:pt idx="207">
                  <c:v>3.7969159614675049E-4</c:v>
                </c:pt>
                <c:pt idx="208">
                  <c:v>3.776226147780814E-4</c:v>
                </c:pt>
                <c:pt idx="209">
                  <c:v>3.7557874709514042E-4</c:v>
                </c:pt>
                <c:pt idx="210">
                  <c:v>3.7355961639087463E-4</c:v>
                </c:pt>
                <c:pt idx="211">
                  <c:v>3.7156485257268607E-4</c:v>
                </c:pt>
                <c:pt idx="212">
                  <c:v>3.6959409203007713E-4</c:v>
                </c:pt>
                <c:pt idx="213">
                  <c:v>3.6764697750526272E-4</c:v>
                </c:pt>
                <c:pt idx="214">
                  <c:v>3.6572315796667466E-4</c:v>
                </c:pt>
                <c:pt idx="215">
                  <c:v>3.6382228848528761E-4</c:v>
                </c:pt>
                <c:pt idx="216">
                  <c:v>3.6194403011369691E-4</c:v>
                </c:pt>
                <c:pt idx="217">
                  <c:v>3.6008804976787987E-4</c:v>
                </c:pt>
                <c:pt idx="218">
                  <c:v>3.5825402011157529E-4</c:v>
                </c:pt>
                <c:pt idx="219">
                  <c:v>3.5644161944321752E-4</c:v>
                </c:pt>
                <c:pt idx="220">
                  <c:v>3.5465053158536088E-4</c:v>
                </c:pt>
                <c:pt idx="221">
                  <c:v>3.528804457765362E-4</c:v>
                </c:pt>
                <c:pt idx="222">
                  <c:v>3.5113105656547851E-4</c:v>
                </c:pt>
                <c:pt idx="223">
                  <c:v>3.4940206370766833E-4</c:v>
                </c:pt>
                <c:pt idx="224">
                  <c:v>3.4769317206413295E-4</c:v>
                </c:pt>
                <c:pt idx="225">
                  <c:v>3.4600409150244865E-4</c:v>
                </c:pt>
                <c:pt idx="226">
                  <c:v>3.4433453679989659E-4</c:v>
                </c:pt>
                <c:pt idx="227">
                  <c:v>3.4268422754871539E-4</c:v>
                </c:pt>
                <c:pt idx="228">
                  <c:v>3.410528880634032E-4</c:v>
                </c:pt>
                <c:pt idx="229">
                  <c:v>3.3944024729001929E-4</c:v>
                </c:pt>
                <c:pt idx="230">
                  <c:v>3.378460387174374E-4</c:v>
                </c:pt>
                <c:pt idx="231">
                  <c:v>3.3627000029050477E-4</c:v>
                </c:pt>
                <c:pt idx="232">
                  <c:v>3.3471187432506115E-4</c:v>
                </c:pt>
                <c:pt idx="233">
                  <c:v>3.3317140742477409E-4</c:v>
                </c:pt>
                <c:pt idx="234">
                  <c:v>3.3164835039974701E-4</c:v>
                </c:pt>
                <c:pt idx="235">
                  <c:v>3.3014245818685918E-4</c:v>
                </c:pt>
                <c:pt idx="236">
                  <c:v>3.2865348977179575E-4</c:v>
                </c:pt>
                <c:pt idx="237">
                  <c:v>3.2718120811272926E-4</c:v>
                </c:pt>
                <c:pt idx="238">
                  <c:v>3.2572538006561279E-4</c:v>
                </c:pt>
                <c:pt idx="239">
                  <c:v>3.2428577631104811E-4</c:v>
                </c:pt>
                <c:pt idx="240">
                  <c:v>3.2286217128269136E-4</c:v>
                </c:pt>
                <c:pt idx="241">
                  <c:v>3.2145434309716135E-4</c:v>
                </c:pt>
                <c:pt idx="242">
                  <c:v>3.2006207348541402E-4</c:v>
                </c:pt>
                <c:pt idx="243">
                  <c:v>3.186851477255516E-4</c:v>
                </c:pt>
                <c:pt idx="244">
                  <c:v>3.1732335457703039E-4</c:v>
                </c:pt>
                <c:pt idx="245">
                  <c:v>3.1597648621623723E-4</c:v>
                </c:pt>
                <c:pt idx="246">
                  <c:v>3.1464433817340236E-4</c:v>
                </c:pt>
                <c:pt idx="247">
                  <c:v>3.1332670927081748E-4</c:v>
                </c:pt>
                <c:pt idx="248">
                  <c:v>3.1202340156232975E-4</c:v>
                </c:pt>
                <c:pt idx="249">
                  <c:v>3.1073422027408306E-4</c:v>
                </c:pt>
                <c:pt idx="250">
                  <c:v>3.0945897374647639E-4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C6-4E24-8777-8EB719A00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31136"/>
        <c:axId val="45533056"/>
      </c:scatterChart>
      <c:valAx>
        <c:axId val="45531136"/>
        <c:scaling>
          <c:orientation val="minMax"/>
          <c:max val="90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4144273602529099"/>
              <c:y val="0.71895654283006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33056"/>
        <c:crossesAt val="1E-4"/>
        <c:crossBetween val="midCat"/>
        <c:majorUnit val="50"/>
        <c:minorUnit val="10"/>
      </c:valAx>
      <c:valAx>
        <c:axId val="45533056"/>
        <c:scaling>
          <c:logBase val="10"/>
          <c:orientation val="minMax"/>
          <c:max val="10"/>
          <c:min val="1E-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Backscatter (/m)</a:t>
                </a:r>
              </a:p>
            </c:rich>
          </c:tx>
          <c:layout>
            <c:manualLayout>
              <c:xMode val="edge"/>
              <c:yMode val="edge"/>
              <c:x val="4.8048188955133714E-2"/>
              <c:y val="0.196079057135471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3113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20781486901413"/>
          <c:y val="0.80065614996984136"/>
          <c:w val="0.73573789337548501"/>
          <c:h val="0.14705929285160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2391593169646"/>
          <c:y val="6.7934782608695649E-2"/>
          <c:w val="0.4472275820623306"/>
          <c:h val="0.80434782608695654"/>
        </c:manualLayout>
      </c:layout>
      <c:scatterChart>
        <c:scatterStyle val="lineMarker"/>
        <c:varyColors val="0"/>
        <c:ser>
          <c:idx val="0"/>
          <c:order val="0"/>
          <c:tx>
            <c:strRef>
              <c:f>AEROSOLCorrection!$B$12</c:f>
              <c:strCache>
                <c:ptCount val="1"/>
                <c:pt idx="0">
                  <c:v>RhowINPUT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AEROSOLCorrection!$B$13:$B$263</c:f>
              <c:numCache>
                <c:formatCode>0.00000</c:formatCode>
                <c:ptCount val="251"/>
                <c:pt idx="0">
                  <c:v>6.4583360373668797E-2</c:v>
                </c:pt>
                <c:pt idx="1">
                  <c:v>6.3513023585173065E-2</c:v>
                </c:pt>
                <c:pt idx="2">
                  <c:v>6.1931190667370156E-2</c:v>
                </c:pt>
                <c:pt idx="3">
                  <c:v>6.0401589930003795E-2</c:v>
                </c:pt>
                <c:pt idx="4">
                  <c:v>5.8841106502801985E-2</c:v>
                </c:pt>
                <c:pt idx="5">
                  <c:v>5.7294507677212309E-2</c:v>
                </c:pt>
                <c:pt idx="6">
                  <c:v>5.5764009240825543E-2</c:v>
                </c:pt>
                <c:pt idx="7">
                  <c:v>5.3838048488564848E-2</c:v>
                </c:pt>
                <c:pt idx="8">
                  <c:v>5.2415496224334127E-2</c:v>
                </c:pt>
                <c:pt idx="9">
                  <c:v>5.1027776912389654E-2</c:v>
                </c:pt>
                <c:pt idx="10">
                  <c:v>4.933090821814487E-2</c:v>
                </c:pt>
                <c:pt idx="11">
                  <c:v>4.7656428586858368E-2</c:v>
                </c:pt>
                <c:pt idx="12">
                  <c:v>4.6342300178785496E-2</c:v>
                </c:pt>
                <c:pt idx="13">
                  <c:v>4.4796288630103973E-2</c:v>
                </c:pt>
                <c:pt idx="14">
                  <c:v>4.3626666480805099E-2</c:v>
                </c:pt>
                <c:pt idx="15">
                  <c:v>4.2260681694419149E-2</c:v>
                </c:pt>
                <c:pt idx="16">
                  <c:v>4.1117745654436808E-2</c:v>
                </c:pt>
                <c:pt idx="17">
                  <c:v>3.9723266459183733E-2</c:v>
                </c:pt>
                <c:pt idx="18">
                  <c:v>3.8654550949036866E-2</c:v>
                </c:pt>
                <c:pt idx="19">
                  <c:v>3.7404043822714297E-2</c:v>
                </c:pt>
                <c:pt idx="20">
                  <c:v>3.6492201633916838E-2</c:v>
                </c:pt>
                <c:pt idx="21">
                  <c:v>3.5542594031781997E-2</c:v>
                </c:pt>
                <c:pt idx="22">
                  <c:v>3.4611311582512225E-2</c:v>
                </c:pt>
                <c:pt idx="23">
                  <c:v>3.3731227238851413E-2</c:v>
                </c:pt>
                <c:pt idx="24">
                  <c:v>3.2920110940359237E-2</c:v>
                </c:pt>
                <c:pt idx="25">
                  <c:v>3.2191938651134046E-2</c:v>
                </c:pt>
                <c:pt idx="26">
                  <c:v>3.1433788050669181E-2</c:v>
                </c:pt>
                <c:pt idx="27">
                  <c:v>3.0688623208174448E-2</c:v>
                </c:pt>
                <c:pt idx="28">
                  <c:v>2.9980511579091481E-2</c:v>
                </c:pt>
                <c:pt idx="29">
                  <c:v>2.928047796845119E-2</c:v>
                </c:pt>
                <c:pt idx="30">
                  <c:v>2.8636535502300043E-2</c:v>
                </c:pt>
                <c:pt idx="31">
                  <c:v>2.7969317791548067E-2</c:v>
                </c:pt>
                <c:pt idx="32">
                  <c:v>2.7313984810998893E-2</c:v>
                </c:pt>
                <c:pt idx="33">
                  <c:v>2.6688149288582461E-2</c:v>
                </c:pt>
                <c:pt idx="34">
                  <c:v>2.5947253650925761E-2</c:v>
                </c:pt>
                <c:pt idx="35">
                  <c:v>2.5371566616149879E-2</c:v>
                </c:pt>
                <c:pt idx="36">
                  <c:v>2.4661242876923856E-2</c:v>
                </c:pt>
                <c:pt idx="37">
                  <c:v>2.3964900613759488E-2</c:v>
                </c:pt>
                <c:pt idx="38">
                  <c:v>2.3296078516411772E-2</c:v>
                </c:pt>
                <c:pt idx="39">
                  <c:v>2.2552330042222513E-2</c:v>
                </c:pt>
                <c:pt idx="40">
                  <c:v>2.1858782613918746E-2</c:v>
                </c:pt>
                <c:pt idx="41">
                  <c:v>2.1069449054979421E-2</c:v>
                </c:pt>
                <c:pt idx="42">
                  <c:v>2.0330932018195337E-2</c:v>
                </c:pt>
                <c:pt idx="43">
                  <c:v>1.963464869647407E-2</c:v>
                </c:pt>
                <c:pt idx="44">
                  <c:v>1.8803117173765677E-2</c:v>
                </c:pt>
                <c:pt idx="45">
                  <c:v>1.8036987780581243E-2</c:v>
                </c:pt>
                <c:pt idx="46">
                  <c:v>1.7228413147161316E-2</c:v>
                </c:pt>
                <c:pt idx="47">
                  <c:v>1.6415183270483143E-2</c:v>
                </c:pt>
                <c:pt idx="48">
                  <c:v>1.5530335583133593E-2</c:v>
                </c:pt>
                <c:pt idx="49">
                  <c:v>1.4545229110753328E-2</c:v>
                </c:pt>
                <c:pt idx="50">
                  <c:v>1.3610086936047506E-2</c:v>
                </c:pt>
                <c:pt idx="51">
                  <c:v>1.2673645026302253E-2</c:v>
                </c:pt>
                <c:pt idx="52">
                  <c:v>1.1799553045835605E-2</c:v>
                </c:pt>
                <c:pt idx="53">
                  <c:v>1.1017371082707958E-2</c:v>
                </c:pt>
                <c:pt idx="54">
                  <c:v>1.0284400855272701E-2</c:v>
                </c:pt>
                <c:pt idx="55">
                  <c:v>9.6263274153658707E-3</c:v>
                </c:pt>
                <c:pt idx="56">
                  <c:v>9.0055582176169248E-3</c:v>
                </c:pt>
                <c:pt idx="57">
                  <c:v>8.4676021161995442E-3</c:v>
                </c:pt>
                <c:pt idx="58">
                  <c:v>7.9977486194214176E-3</c:v>
                </c:pt>
                <c:pt idx="59">
                  <c:v>7.5670262021196215E-3</c:v>
                </c:pt>
                <c:pt idx="60">
                  <c:v>7.3872427574948113E-3</c:v>
                </c:pt>
                <c:pt idx="61">
                  <c:v>7.1786126430330296E-3</c:v>
                </c:pt>
                <c:pt idx="62">
                  <c:v>7.2042824687620381E-3</c:v>
                </c:pt>
                <c:pt idx="63">
                  <c:v>6.8281045331343385E-3</c:v>
                </c:pt>
                <c:pt idx="64">
                  <c:v>6.8034547985418529E-3</c:v>
                </c:pt>
                <c:pt idx="65">
                  <c:v>6.6285094407531079E-3</c:v>
                </c:pt>
                <c:pt idx="66">
                  <c:v>6.3197931558708412E-3</c:v>
                </c:pt>
                <c:pt idx="67">
                  <c:v>6.0962561718022239E-3</c:v>
                </c:pt>
                <c:pt idx="68">
                  <c:v>5.8474189435441326E-3</c:v>
                </c:pt>
                <c:pt idx="69">
                  <c:v>5.6583759200198253E-3</c:v>
                </c:pt>
                <c:pt idx="70">
                  <c:v>5.4242197291087041E-3</c:v>
                </c:pt>
                <c:pt idx="71">
                  <c:v>5.2744140799379354E-3</c:v>
                </c:pt>
                <c:pt idx="72">
                  <c:v>4.9789564459311805E-3</c:v>
                </c:pt>
                <c:pt idx="73">
                  <c:v>4.768152346267443E-3</c:v>
                </c:pt>
                <c:pt idx="74">
                  <c:v>4.5468454862235205E-3</c:v>
                </c:pt>
                <c:pt idx="75">
                  <c:v>4.3123176983972614E-3</c:v>
                </c:pt>
                <c:pt idx="76">
                  <c:v>4.1031057468773552E-3</c:v>
                </c:pt>
                <c:pt idx="77">
                  <c:v>3.9275671887975894E-3</c:v>
                </c:pt>
                <c:pt idx="78">
                  <c:v>3.7917689641068313E-3</c:v>
                </c:pt>
                <c:pt idx="79">
                  <c:v>3.6790224308508746E-3</c:v>
                </c:pt>
                <c:pt idx="80">
                  <c:v>3.5603540418021411E-3</c:v>
                </c:pt>
                <c:pt idx="81">
                  <c:v>3.4471808039665173E-3</c:v>
                </c:pt>
                <c:pt idx="82">
                  <c:v>3.3437567230810931E-3</c:v>
                </c:pt>
                <c:pt idx="83">
                  <c:v>3.2180841756119065E-3</c:v>
                </c:pt>
                <c:pt idx="84">
                  <c:v>3.1117564715978504E-3</c:v>
                </c:pt>
                <c:pt idx="85">
                  <c:v>2.9754219106803421E-3</c:v>
                </c:pt>
                <c:pt idx="86">
                  <c:v>2.837403994460782E-3</c:v>
                </c:pt>
                <c:pt idx="87">
                  <c:v>2.6962503985010593E-3</c:v>
                </c:pt>
                <c:pt idx="88">
                  <c:v>2.5454108221936935E-3</c:v>
                </c:pt>
                <c:pt idx="89">
                  <c:v>2.4106026177044644E-3</c:v>
                </c:pt>
                <c:pt idx="90">
                  <c:v>2.2443324264079063E-3</c:v>
                </c:pt>
                <c:pt idx="91">
                  <c:v>2.1132931370261066E-3</c:v>
                </c:pt>
                <c:pt idx="92">
                  <c:v>1.9377995019779169E-3</c:v>
                </c:pt>
                <c:pt idx="93">
                  <c:v>1.7848498801477542E-3</c:v>
                </c:pt>
                <c:pt idx="94">
                  <c:v>1.6334539477693506E-3</c:v>
                </c:pt>
                <c:pt idx="95">
                  <c:v>1.4934105059285743E-3</c:v>
                </c:pt>
                <c:pt idx="96">
                  <c:v>1.3732226507846843E-3</c:v>
                </c:pt>
                <c:pt idx="97">
                  <c:v>1.2650122148182706E-3</c:v>
                </c:pt>
                <c:pt idx="98">
                  <c:v>1.1537660187756285E-3</c:v>
                </c:pt>
                <c:pt idx="99">
                  <c:v>1.0434955068624088E-3</c:v>
                </c:pt>
                <c:pt idx="100">
                  <c:v>8.6399281264519013E-4</c:v>
                </c:pt>
                <c:pt idx="101">
                  <c:v>8.0352912453464961E-4</c:v>
                </c:pt>
                <c:pt idx="102">
                  <c:v>7.6831452615130512E-4</c:v>
                </c:pt>
                <c:pt idx="103">
                  <c:v>7.1937465137431207E-4</c:v>
                </c:pt>
                <c:pt idx="104">
                  <c:v>6.9404079425548553E-4</c:v>
                </c:pt>
                <c:pt idx="105">
                  <c:v>6.7699792836189521E-4</c:v>
                </c:pt>
                <c:pt idx="106">
                  <c:v>6.6393456656624837E-4</c:v>
                </c:pt>
                <c:pt idx="107">
                  <c:v>6.5098364787002222E-4</c:v>
                </c:pt>
                <c:pt idx="108">
                  <c:v>6.3860655125655473E-4</c:v>
                </c:pt>
                <c:pt idx="109">
                  <c:v>6.2722429854838991E-4</c:v>
                </c:pt>
                <c:pt idx="110">
                  <c:v>6.1524327021734331E-4</c:v>
                </c:pt>
                <c:pt idx="111">
                  <c:v>6.027290416943114E-4</c:v>
                </c:pt>
                <c:pt idx="112">
                  <c:v>5.9056888514179067E-4</c:v>
                </c:pt>
                <c:pt idx="113">
                  <c:v>5.7954697960023102E-4</c:v>
                </c:pt>
                <c:pt idx="114">
                  <c:v>5.6803353227726405E-4</c:v>
                </c:pt>
                <c:pt idx="115">
                  <c:v>5.5608414766141216E-4</c:v>
                </c:pt>
                <c:pt idx="116">
                  <c:v>5.4448754466233972E-4</c:v>
                </c:pt>
                <c:pt idx="117">
                  <c:v>5.349968006891577E-4</c:v>
                </c:pt>
                <c:pt idx="118">
                  <c:v>5.2504433278380031E-4</c:v>
                </c:pt>
                <c:pt idx="119">
                  <c:v>5.1351078373868941E-4</c:v>
                </c:pt>
                <c:pt idx="120">
                  <c:v>5.0282039765004783E-4</c:v>
                </c:pt>
                <c:pt idx="121">
                  <c:v>4.9275495217843384E-4</c:v>
                </c:pt>
                <c:pt idx="122">
                  <c:v>4.8236644327596554E-4</c:v>
                </c:pt>
                <c:pt idx="123">
                  <c:v>4.7155992459336826E-4</c:v>
                </c:pt>
                <c:pt idx="124">
                  <c:v>4.6138458425979372E-4</c:v>
                </c:pt>
                <c:pt idx="125">
                  <c:v>4.4989345504261268E-4</c:v>
                </c:pt>
                <c:pt idx="126">
                  <c:v>4.3947288210916777E-4</c:v>
                </c:pt>
                <c:pt idx="127">
                  <c:v>4.2764822345616799E-4</c:v>
                </c:pt>
                <c:pt idx="128">
                  <c:v>4.1345379051101183E-4</c:v>
                </c:pt>
                <c:pt idx="129">
                  <c:v>3.9526360741635997E-4</c:v>
                </c:pt>
                <c:pt idx="130">
                  <c:v>3.7566877236090067E-4</c:v>
                </c:pt>
                <c:pt idx="131">
                  <c:v>3.5901594435541761E-4</c:v>
                </c:pt>
                <c:pt idx="132">
                  <c:v>3.4798636472070931E-4</c:v>
                </c:pt>
                <c:pt idx="133">
                  <c:v>3.4036628729077964E-4</c:v>
                </c:pt>
                <c:pt idx="134">
                  <c:v>3.3517902906013875E-4</c:v>
                </c:pt>
                <c:pt idx="135">
                  <c:v>3.3026469039793677E-4</c:v>
                </c:pt>
                <c:pt idx="136">
                  <c:v>3.2514880820001325E-4</c:v>
                </c:pt>
                <c:pt idx="137">
                  <c:v>3.2053331536783543E-4</c:v>
                </c:pt>
                <c:pt idx="138">
                  <c:v>3.1400580355819688E-4</c:v>
                </c:pt>
                <c:pt idx="139">
                  <c:v>3.0789996278132216E-4</c:v>
                </c:pt>
                <c:pt idx="140">
                  <c:v>3.019040030400061E-4</c:v>
                </c:pt>
                <c:pt idx="141">
                  <c:v>2.9507603607834958E-4</c:v>
                </c:pt>
                <c:pt idx="142">
                  <c:v>2.8757984183021409E-4</c:v>
                </c:pt>
                <c:pt idx="143">
                  <c:v>2.7975561502375856E-4</c:v>
                </c:pt>
                <c:pt idx="144">
                  <c:v>2.7143708363826631E-4</c:v>
                </c:pt>
                <c:pt idx="145">
                  <c:v>2.627793912861609E-4</c:v>
                </c:pt>
                <c:pt idx="146">
                  <c:v>2.5304682999896977E-4</c:v>
                </c:pt>
                <c:pt idx="147">
                  <c:v>2.4268885924666901E-4</c:v>
                </c:pt>
                <c:pt idx="148">
                  <c:v>2.3279666583735472E-4</c:v>
                </c:pt>
                <c:pt idx="149">
                  <c:v>2.2139600054715087E-4</c:v>
                </c:pt>
                <c:pt idx="150">
                  <c:v>2.0996382771753784E-4</c:v>
                </c:pt>
                <c:pt idx="151">
                  <c:v>1.9881739600685109E-4</c:v>
                </c:pt>
                <c:pt idx="152">
                  <c:v>1.8761618459958994E-4</c:v>
                </c:pt>
                <c:pt idx="153">
                  <c:v>1.7702327192696605E-4</c:v>
                </c:pt>
                <c:pt idx="154">
                  <c:v>1.6648185581182219E-4</c:v>
                </c:pt>
                <c:pt idx="155">
                  <c:v>1.5579713697660478E-4</c:v>
                </c:pt>
                <c:pt idx="156">
                  <c:v>1.4524146109637918E-4</c:v>
                </c:pt>
                <c:pt idx="157">
                  <c:v>1.3471536348200094E-4</c:v>
                </c:pt>
                <c:pt idx="158">
                  <c:v>1.2395173014759215E-4</c:v>
                </c:pt>
                <c:pt idx="159">
                  <c:v>1.1352453138522345E-4</c:v>
                </c:pt>
                <c:pt idx="160">
                  <c:v>1.0371509252807973E-4</c:v>
                </c:pt>
                <c:pt idx="161">
                  <c:v>9.4528156307208293E-5</c:v>
                </c:pt>
                <c:pt idx="162">
                  <c:v>8.6396830422197374E-5</c:v>
                </c:pt>
                <c:pt idx="163">
                  <c:v>7.9293546065746902E-5</c:v>
                </c:pt>
                <c:pt idx="164">
                  <c:v>7.2623272648197055E-5</c:v>
                </c:pt>
                <c:pt idx="165">
                  <c:v>6.6133899321207644E-5</c:v>
                </c:pt>
                <c:pt idx="166">
                  <c:v>5.9556485178880447E-5</c:v>
                </c:pt>
                <c:pt idx="167">
                  <c:v>5.3059995231582057E-5</c:v>
                </c:pt>
                <c:pt idx="168">
                  <c:v>4.7535446178739386E-5</c:v>
                </c:pt>
                <c:pt idx="169">
                  <c:v>4.3517401050481016E-5</c:v>
                </c:pt>
                <c:pt idx="170">
                  <c:v>4.0861948173967225E-5</c:v>
                </c:pt>
                <c:pt idx="171">
                  <c:v>3.9166182789013273E-5</c:v>
                </c:pt>
                <c:pt idx="172">
                  <c:v>3.8178602151985107E-5</c:v>
                </c:pt>
                <c:pt idx="173">
                  <c:v>3.749750563399907E-5</c:v>
                </c:pt>
                <c:pt idx="174">
                  <c:v>3.697410633959549E-5</c:v>
                </c:pt>
                <c:pt idx="175">
                  <c:v>3.656424228285043E-5</c:v>
                </c:pt>
                <c:pt idx="176">
                  <c:v>3.6212673457917022E-5</c:v>
                </c:pt>
                <c:pt idx="177">
                  <c:v>3.5884671789130046E-5</c:v>
                </c:pt>
                <c:pt idx="178">
                  <c:v>3.5562725875039617E-5</c:v>
                </c:pt>
                <c:pt idx="179">
                  <c:v>3.5217369013128992E-5</c:v>
                </c:pt>
                <c:pt idx="180">
                  <c:v>3.4882282712737385E-5</c:v>
                </c:pt>
                <c:pt idx="181">
                  <c:v>3.4625703211986174E-5</c:v>
                </c:pt>
                <c:pt idx="182">
                  <c:v>3.438988214020947E-5</c:v>
                </c:pt>
                <c:pt idx="183">
                  <c:v>3.4218799260700663E-5</c:v>
                </c:pt>
                <c:pt idx="184">
                  <c:v>3.4111766291217349E-5</c:v>
                </c:pt>
                <c:pt idx="185">
                  <c:v>3.3978504742915547E-5</c:v>
                </c:pt>
                <c:pt idx="186">
                  <c:v>3.3837564080171449E-5</c:v>
                </c:pt>
                <c:pt idx="187">
                  <c:v>3.3843171125325052E-5</c:v>
                </c:pt>
                <c:pt idx="188">
                  <c:v>3.3890349849717104E-5</c:v>
                </c:pt>
                <c:pt idx="189">
                  <c:v>3.393218417381689E-5</c:v>
                </c:pt>
                <c:pt idx="190">
                  <c:v>3.4111531118568145E-5</c:v>
                </c:pt>
                <c:pt idx="191">
                  <c:v>3.4235276537517359E-5</c:v>
                </c:pt>
                <c:pt idx="192">
                  <c:v>3.4380002115647297E-5</c:v>
                </c:pt>
                <c:pt idx="193">
                  <c:v>3.4651349072486768E-5</c:v>
                </c:pt>
                <c:pt idx="194">
                  <c:v>3.494275787804433E-5</c:v>
                </c:pt>
                <c:pt idx="195">
                  <c:v>3.5307643355579469E-5</c:v>
                </c:pt>
                <c:pt idx="196">
                  <c:v>3.5734111274664708E-5</c:v>
                </c:pt>
                <c:pt idx="197">
                  <c:v>3.6111425143025446E-5</c:v>
                </c:pt>
                <c:pt idx="198">
                  <c:v>3.6416511139891546E-5</c:v>
                </c:pt>
                <c:pt idx="199">
                  <c:v>3.684180604005715E-5</c:v>
                </c:pt>
                <c:pt idx="200">
                  <c:v>3.7268778325250858E-5</c:v>
                </c:pt>
                <c:pt idx="201">
                  <c:v>3.8137377796473783E-5</c:v>
                </c:pt>
                <c:pt idx="202">
                  <c:v>3.823049296028619E-5</c:v>
                </c:pt>
                <c:pt idx="203">
                  <c:v>3.8218040128900981E-5</c:v>
                </c:pt>
                <c:pt idx="204">
                  <c:v>3.8098389724596616E-5</c:v>
                </c:pt>
                <c:pt idx="205">
                  <c:v>3.7980783970922542E-5</c:v>
                </c:pt>
                <c:pt idx="206">
                  <c:v>3.7527489510042325E-5</c:v>
                </c:pt>
                <c:pt idx="207">
                  <c:v>3.7082530458477398E-5</c:v>
                </c:pt>
                <c:pt idx="208">
                  <c:v>3.6414213937106461E-5</c:v>
                </c:pt>
                <c:pt idx="209">
                  <c:v>3.5543247125159239E-5</c:v>
                </c:pt>
                <c:pt idx="210">
                  <c:v>3.4706397481733484E-5</c:v>
                </c:pt>
                <c:pt idx="211">
                  <c:v>3.288113869586401E-5</c:v>
                </c:pt>
                <c:pt idx="212">
                  <c:v>3.1223461316360948E-5</c:v>
                </c:pt>
                <c:pt idx="213">
                  <c:v>2.9280581462561938E-5</c:v>
                </c:pt>
                <c:pt idx="214">
                  <c:v>2.7177063133912951E-5</c:v>
                </c:pt>
                <c:pt idx="215">
                  <c:v>2.5339158358953049E-5</c:v>
                </c:pt>
                <c:pt idx="216">
                  <c:v>2.3416078155294855E-5</c:v>
                </c:pt>
                <c:pt idx="217">
                  <c:v>2.1749646498650185E-5</c:v>
                </c:pt>
                <c:pt idx="218">
                  <c:v>2.0667791802383324E-5</c:v>
                </c:pt>
                <c:pt idx="219">
                  <c:v>2.0035240444866969E-5</c:v>
                </c:pt>
                <c:pt idx="220">
                  <c:v>1.943552726665732E-5</c:v>
                </c:pt>
                <c:pt idx="221">
                  <c:v>1.9096023687259919E-5</c:v>
                </c:pt>
                <c:pt idx="222">
                  <c:v>1.876603522415482E-5</c:v>
                </c:pt>
                <c:pt idx="223">
                  <c:v>1.8446636488228394E-5</c:v>
                </c:pt>
                <c:pt idx="224">
                  <c:v>1.8137356623634262E-5</c:v>
                </c:pt>
                <c:pt idx="225">
                  <c:v>1.7836392545420543E-5</c:v>
                </c:pt>
                <c:pt idx="226">
                  <c:v>1.7569906549482981E-5</c:v>
                </c:pt>
                <c:pt idx="227">
                  <c:v>1.7309755415368035E-5</c:v>
                </c:pt>
                <c:pt idx="228">
                  <c:v>1.7041247359778953E-5</c:v>
                </c:pt>
                <c:pt idx="229">
                  <c:v>1.6765313120953549E-5</c:v>
                </c:pt>
                <c:pt idx="230">
                  <c:v>1.6496562964338608E-5</c:v>
                </c:pt>
                <c:pt idx="231">
                  <c:v>1.6167812119969729E-5</c:v>
                </c:pt>
                <c:pt idx="232">
                  <c:v>1.5849839944717681E-5</c:v>
                </c:pt>
                <c:pt idx="233">
                  <c:v>1.555938924967655E-5</c:v>
                </c:pt>
                <c:pt idx="234">
                  <c:v>1.5294370340068748E-5</c:v>
                </c:pt>
                <c:pt idx="235">
                  <c:v>1.503668643587493E-5</c:v>
                </c:pt>
                <c:pt idx="236">
                  <c:v>1.471096235226397E-5</c:v>
                </c:pt>
                <c:pt idx="237">
                  <c:v>1.4397006554664544E-5</c:v>
                </c:pt>
                <c:pt idx="238">
                  <c:v>1.402179128347556E-5</c:v>
                </c:pt>
                <c:pt idx="239">
                  <c:v>1.3594825670515297E-5</c:v>
                </c:pt>
                <c:pt idx="240">
                  <c:v>1.3190271644957985E-5</c:v>
                </c:pt>
                <c:pt idx="241">
                  <c:v>1.2872122336842452E-5</c:v>
                </c:pt>
                <c:pt idx="242">
                  <c:v>1.2566966172561667E-5</c:v>
                </c:pt>
                <c:pt idx="243">
                  <c:v>1.2275317658187581E-5</c:v>
                </c:pt>
                <c:pt idx="244">
                  <c:v>1.1996325023789611E-5</c:v>
                </c:pt>
                <c:pt idx="245">
                  <c:v>1.1728039816085069E-5</c:v>
                </c:pt>
                <c:pt idx="246">
                  <c:v>1.147227625846239E-5</c:v>
                </c:pt>
                <c:pt idx="247">
                  <c:v>1.1225912819690431E-5</c:v>
                </c:pt>
                <c:pt idx="248">
                  <c:v>1.0986924046990493E-5</c:v>
                </c:pt>
                <c:pt idx="249">
                  <c:v>1.0755027727003296E-5</c:v>
                </c:pt>
                <c:pt idx="250">
                  <c:v>1.053137860343762E-5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6-40AE-8272-B29DFFD929DA}"/>
            </c:ext>
          </c:extLst>
        </c:ser>
        <c:ser>
          <c:idx val="1"/>
          <c:order val="1"/>
          <c:tx>
            <c:strRef>
              <c:f>AEROSOLCorrection!$C$12</c:f>
              <c:strCache>
                <c:ptCount val="1"/>
                <c:pt idx="0">
                  <c:v>Rho_a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AEROSOLCorrection!$C$13:$C$263</c:f>
              <c:numCache>
                <c:formatCode>0.00000</c:formatCode>
                <c:ptCount val="251"/>
                <c:pt idx="0">
                  <c:v>2.7286701026751584E-2</c:v>
                </c:pt>
                <c:pt idx="1">
                  <c:v>2.7181323317871337E-2</c:v>
                </c:pt>
                <c:pt idx="2">
                  <c:v>2.7076872510657581E-2</c:v>
                </c:pt>
                <c:pt idx="3">
                  <c:v>2.6973335923721559E-2</c:v>
                </c:pt>
                <c:pt idx="4">
                  <c:v>2.6870701110521814E-2</c:v>
                </c:pt>
                <c:pt idx="5">
                  <c:v>2.6768955853890025E-2</c:v>
                </c:pt>
                <c:pt idx="6">
                  <c:v>2.6668088160710431E-2</c:v>
                </c:pt>
                <c:pt idx="7">
                  <c:v>2.6568086256747791E-2</c:v>
                </c:pt>
                <c:pt idx="8">
                  <c:v>2.6468938581619039E-2</c:v>
                </c:pt>
                <c:pt idx="9">
                  <c:v>2.6370633783903967E-2</c:v>
                </c:pt>
                <c:pt idx="10">
                  <c:v>2.6273160716390454E-2</c:v>
                </c:pt>
                <c:pt idx="11">
                  <c:v>2.6176508431449929E-2</c:v>
                </c:pt>
                <c:pt idx="12">
                  <c:v>2.6080666176538897E-2</c:v>
                </c:pt>
                <c:pt idx="13">
                  <c:v>2.5985623389822483E-2</c:v>
                </c:pt>
                <c:pt idx="14">
                  <c:v>2.5891369695916197E-2</c:v>
                </c:pt>
                <c:pt idx="15">
                  <c:v>2.5797894901742138E-2</c:v>
                </c:pt>
                <c:pt idx="16">
                  <c:v>2.5705188992496037E-2</c:v>
                </c:pt>
                <c:pt idx="17">
                  <c:v>2.5613242127721737E-2</c:v>
                </c:pt>
                <c:pt idx="18">
                  <c:v>2.5522044637489708E-2</c:v>
                </c:pt>
                <c:pt idx="19">
                  <c:v>2.5431587018676396E-2</c:v>
                </c:pt>
                <c:pt idx="20">
                  <c:v>2.5341859931341349E-2</c:v>
                </c:pt>
                <c:pt idx="21">
                  <c:v>2.525285419519898E-2</c:v>
                </c:pt>
                <c:pt idx="22">
                  <c:v>2.5164560786182275E-2</c:v>
                </c:pt>
                <c:pt idx="23">
                  <c:v>2.5076970833095492E-2</c:v>
                </c:pt>
                <c:pt idx="24">
                  <c:v>2.4990075614353208E-2</c:v>
                </c:pt>
                <c:pt idx="25">
                  <c:v>2.4903866554803145E-2</c:v>
                </c:pt>
                <c:pt idx="26">
                  <c:v>2.4818335222630227E-2</c:v>
                </c:pt>
                <c:pt idx="27">
                  <c:v>2.4733473326339444E-2</c:v>
                </c:pt>
                <c:pt idx="28">
                  <c:v>2.4649272711815141E-2</c:v>
                </c:pt>
                <c:pt idx="29">
                  <c:v>2.456572535945465E-2</c:v>
                </c:pt>
                <c:pt idx="30">
                  <c:v>2.4482823381373732E-2</c:v>
                </c:pt>
                <c:pt idx="31">
                  <c:v>2.4400559018682152E-2</c:v>
                </c:pt>
                <c:pt idx="32">
                  <c:v>2.4318924638826917E-2</c:v>
                </c:pt>
                <c:pt idx="33">
                  <c:v>2.4237912733001542E-2</c:v>
                </c:pt>
                <c:pt idx="34">
                  <c:v>2.4157515913619212E-2</c:v>
                </c:pt>
                <c:pt idx="35">
                  <c:v>2.4077726911848112E-2</c:v>
                </c:pt>
                <c:pt idx="36">
                  <c:v>2.3998538575207121E-2</c:v>
                </c:pt>
                <c:pt idx="37">
                  <c:v>2.3919943865220086E-2</c:v>
                </c:pt>
                <c:pt idx="38">
                  <c:v>2.3841935855127061E-2</c:v>
                </c:pt>
                <c:pt idx="39">
                  <c:v>2.3764507727650937E-2</c:v>
                </c:pt>
                <c:pt idx="40">
                  <c:v>2.368765277281774E-2</c:v>
                </c:pt>
                <c:pt idx="41">
                  <c:v>2.3611364385829309E-2</c:v>
                </c:pt>
                <c:pt idx="42">
                  <c:v>2.3535636064986695E-2</c:v>
                </c:pt>
                <c:pt idx="43">
                  <c:v>2.3460461409662948E-2</c:v>
                </c:pt>
                <c:pt idx="44">
                  <c:v>2.3385834118323932E-2</c:v>
                </c:pt>
                <c:pt idx="45">
                  <c:v>2.3311747986595834E-2</c:v>
                </c:pt>
                <c:pt idx="46">
                  <c:v>2.3238196905378011E-2</c:v>
                </c:pt>
                <c:pt idx="47">
                  <c:v>2.3165174859000052E-2</c:v>
                </c:pt>
                <c:pt idx="48">
                  <c:v>2.3092675923421742E-2</c:v>
                </c:pt>
                <c:pt idx="49">
                  <c:v>2.3020694264474797E-2</c:v>
                </c:pt>
                <c:pt idx="50">
                  <c:v>2.2949224136145259E-2</c:v>
                </c:pt>
                <c:pt idx="51">
                  <c:v>2.2878259878895423E-2</c:v>
                </c:pt>
                <c:pt idx="52">
                  <c:v>2.2807795918024228E-2</c:v>
                </c:pt>
                <c:pt idx="53">
                  <c:v>2.2737826762065125E-2</c:v>
                </c:pt>
                <c:pt idx="54">
                  <c:v>2.2668347001220359E-2</c:v>
                </c:pt>
                <c:pt idx="55">
                  <c:v>2.2599351305830784E-2</c:v>
                </c:pt>
                <c:pt idx="56">
                  <c:v>2.2530834424880134E-2</c:v>
                </c:pt>
                <c:pt idx="57">
                  <c:v>2.2462791184533017E-2</c:v>
                </c:pt>
                <c:pt idx="58">
                  <c:v>2.239521648670556E-2</c:v>
                </c:pt>
                <c:pt idx="59">
                  <c:v>2.2328105307668034E-2</c:v>
                </c:pt>
                <c:pt idx="60">
                  <c:v>2.2261452696678469E-2</c:v>
                </c:pt>
                <c:pt idx="61">
                  <c:v>2.2195253774646539E-2</c:v>
                </c:pt>
                <c:pt idx="62">
                  <c:v>2.2129503732826926E-2</c:v>
                </c:pt>
                <c:pt idx="63">
                  <c:v>2.2064197831541368E-2</c:v>
                </c:pt>
                <c:pt idx="64">
                  <c:v>2.1999331398928717E-2</c:v>
                </c:pt>
                <c:pt idx="65">
                  <c:v>2.1934899829722198E-2</c:v>
                </c:pt>
                <c:pt idx="66">
                  <c:v>2.1870898584053278E-2</c:v>
                </c:pt>
                <c:pt idx="67">
                  <c:v>2.18073231862814E-2</c:v>
                </c:pt>
                <c:pt idx="68">
                  <c:v>2.1744169223848933E-2</c:v>
                </c:pt>
                <c:pt idx="69">
                  <c:v>2.1681432346160753E-2</c:v>
                </c:pt>
                <c:pt idx="70">
                  <c:v>2.1619108263487775E-2</c:v>
                </c:pt>
                <c:pt idx="71">
                  <c:v>2.1557192745893874E-2</c:v>
                </c:pt>
                <c:pt idx="72">
                  <c:v>2.1495681622185604E-2</c:v>
                </c:pt>
                <c:pt idx="73">
                  <c:v>2.1434570778884134E-2</c:v>
                </c:pt>
                <c:pt idx="74">
                  <c:v>2.1373856159218871E-2</c:v>
                </c:pt>
                <c:pt idx="75">
                  <c:v>2.1313533762142244E-2</c:v>
                </c:pt>
                <c:pt idx="76">
                  <c:v>2.1253599641365105E-2</c:v>
                </c:pt>
                <c:pt idx="77">
                  <c:v>2.1194049904412208E-2</c:v>
                </c:pt>
                <c:pt idx="78">
                  <c:v>2.1134880711697404E-2</c:v>
                </c:pt>
                <c:pt idx="79">
                  <c:v>2.1076088275617921E-2</c:v>
                </c:pt>
                <c:pt idx="80">
                  <c:v>2.1017668859667344E-2</c:v>
                </c:pt>
                <c:pt idx="81">
                  <c:v>2.0959618777566878E-2</c:v>
                </c:pt>
                <c:pt idx="82">
                  <c:v>2.0901934392414358E-2</c:v>
                </c:pt>
                <c:pt idx="83">
                  <c:v>2.0844612115850661E-2</c:v>
                </c:pt>
                <c:pt idx="84">
                  <c:v>2.0787648407243071E-2</c:v>
                </c:pt>
                <c:pt idx="85">
                  <c:v>2.0731039772885214E-2</c:v>
                </c:pt>
                <c:pt idx="86">
                  <c:v>2.0674782765213128E-2</c:v>
                </c:pt>
                <c:pt idx="87">
                  <c:v>2.0618873982037135E-2</c:v>
                </c:pt>
                <c:pt idx="88">
                  <c:v>2.0563310065789143E-2</c:v>
                </c:pt>
                <c:pt idx="89">
                  <c:v>2.0508087702784943E-2</c:v>
                </c:pt>
                <c:pt idx="90">
                  <c:v>2.0453203622501262E-2</c:v>
                </c:pt>
                <c:pt idx="91">
                  <c:v>2.0398654596867131E-2</c:v>
                </c:pt>
                <c:pt idx="92">
                  <c:v>2.0344437439569294E-2</c:v>
                </c:pt>
                <c:pt idx="93">
                  <c:v>2.0290549005371316E-2</c:v>
                </c:pt>
                <c:pt idx="94">
                  <c:v>2.0236986189446044E-2</c:v>
                </c:pt>
                <c:pt idx="95">
                  <c:v>2.0183745926721199E-2</c:v>
                </c:pt>
                <c:pt idx="96">
                  <c:v>2.013082519123768E-2</c:v>
                </c:pt>
                <c:pt idx="97">
                  <c:v>2.0078220995520393E-2</c:v>
                </c:pt>
                <c:pt idx="98">
                  <c:v>2.0025930389961265E-2</c:v>
                </c:pt>
                <c:pt idx="99">
                  <c:v>1.9973950462214181E-2</c:v>
                </c:pt>
                <c:pt idx="100">
                  <c:v>1.9922278336601578E-2</c:v>
                </c:pt>
                <c:pt idx="101">
                  <c:v>1.9870911173532423E-2</c:v>
                </c:pt>
                <c:pt idx="102">
                  <c:v>1.9819846168931333E-2</c:v>
                </c:pt>
                <c:pt idx="103">
                  <c:v>1.9769080553678584E-2</c:v>
                </c:pt>
                <c:pt idx="104">
                  <c:v>1.971861159306075E-2</c:v>
                </c:pt>
                <c:pt idx="105">
                  <c:v>1.9668436586231779E-2</c:v>
                </c:pt>
                <c:pt idx="106">
                  <c:v>1.9618552865684178E-2</c:v>
                </c:pt>
                <c:pt idx="107">
                  <c:v>1.9568957796730249E-2</c:v>
                </c:pt>
                <c:pt idx="108">
                  <c:v>1.9519648776992984E-2</c:v>
                </c:pt>
                <c:pt idx="109">
                  <c:v>1.9470623235906471E-2</c:v>
                </c:pt>
                <c:pt idx="110">
                  <c:v>1.9421878634225696E-2</c:v>
                </c:pt>
                <c:pt idx="111">
                  <c:v>1.9373412463545344E-2</c:v>
                </c:pt>
                <c:pt idx="112">
                  <c:v>1.9325222245827604E-2</c:v>
                </c:pt>
                <c:pt idx="113">
                  <c:v>1.9277305532938625E-2</c:v>
                </c:pt>
                <c:pt idx="114">
                  <c:v>1.9229659906193533E-2</c:v>
                </c:pt>
                <c:pt idx="115">
                  <c:v>1.9182282975909789E-2</c:v>
                </c:pt>
                <c:pt idx="116">
                  <c:v>1.9135172380968724E-2</c:v>
                </c:pt>
                <c:pt idx="117">
                  <c:v>1.9088325788385024E-2</c:v>
                </c:pt>
                <c:pt idx="118">
                  <c:v>1.9041740892884105E-2</c:v>
                </c:pt>
                <c:pt idx="119">
                  <c:v>1.8995415416487065E-2</c:v>
                </c:pt>
                <c:pt idx="120">
                  <c:v>1.8949347108103205E-2</c:v>
                </c:pt>
                <c:pt idx="121">
                  <c:v>1.8903533743129822E-2</c:v>
                </c:pt>
                <c:pt idx="122">
                  <c:v>1.8857973123059233E-2</c:v>
                </c:pt>
                <c:pt idx="123">
                  <c:v>1.8812663075092793E-2</c:v>
                </c:pt>
                <c:pt idx="124">
                  <c:v>1.8767601451761793E-2</c:v>
                </c:pt>
                <c:pt idx="125">
                  <c:v>1.8722786130555155E-2</c:v>
                </c:pt>
                <c:pt idx="126">
                  <c:v>1.8678215013553646E-2</c:v>
                </c:pt>
                <c:pt idx="127">
                  <c:v>1.8633886027070608E-2</c:v>
                </c:pt>
                <c:pt idx="128">
                  <c:v>1.8589797121299007E-2</c:v>
                </c:pt>
                <c:pt idx="129">
                  <c:v>1.8545946269964662E-2</c:v>
                </c:pt>
                <c:pt idx="130">
                  <c:v>1.8502331469985565E-2</c:v>
                </c:pt>
                <c:pt idx="131">
                  <c:v>1.8458950741137146E-2</c:v>
                </c:pt>
                <c:pt idx="132">
                  <c:v>1.8415802125723354E-2</c:v>
                </c:pt>
                <c:pt idx="133">
                  <c:v>1.8372883688253443E-2</c:v>
                </c:pt>
                <c:pt idx="134">
                  <c:v>1.8330193515124368E-2</c:v>
                </c:pt>
                <c:pt idx="135">
                  <c:v>1.8287729714308639E-2</c:v>
                </c:pt>
                <c:pt idx="136">
                  <c:v>1.8245490415047552E-2</c:v>
                </c:pt>
                <c:pt idx="137">
                  <c:v>1.8203473767549667E-2</c:v>
                </c:pt>
                <c:pt idx="138">
                  <c:v>1.8161677942694483E-2</c:v>
                </c:pt>
                <c:pt idx="139">
                  <c:v>1.8120101131741086E-2</c:v>
                </c:pt>
                <c:pt idx="140">
                  <c:v>1.8078741546041829E-2</c:v>
                </c:pt>
                <c:pt idx="141">
                  <c:v>1.8037597416760798E-2</c:v>
                </c:pt>
                <c:pt idx="142">
                  <c:v>1.7996666994597108E-2</c:v>
                </c:pt>
                <c:pt idx="143">
                  <c:v>1.7955948549512747E-2</c:v>
                </c:pt>
                <c:pt idx="144">
                  <c:v>1.7915440370465132E-2</c:v>
                </c:pt>
                <c:pt idx="145">
                  <c:v>1.7875140765144019E-2</c:v>
                </c:pt>
                <c:pt idx="146">
                  <c:v>1.7835048059712887E-2</c:v>
                </c:pt>
                <c:pt idx="147">
                  <c:v>1.7795160598554582E-2</c:v>
                </c:pt>
                <c:pt idx="148">
                  <c:v>1.7755476744021219E-2</c:v>
                </c:pt>
                <c:pt idx="149">
                  <c:v>1.771599487618819E-2</c:v>
                </c:pt>
                <c:pt idx="150">
                  <c:v>1.7676713392612262E-2</c:v>
                </c:pt>
                <c:pt idx="151">
                  <c:v>1.763763070809363E-2</c:v>
                </c:pt>
                <c:pt idx="152">
                  <c:v>1.7598745254441907E-2</c:v>
                </c:pt>
                <c:pt idx="153">
                  <c:v>1.7560055480245921E-2</c:v>
                </c:pt>
                <c:pt idx="154">
                  <c:v>1.7521559850647267E-2</c:v>
                </c:pt>
                <c:pt idx="155">
                  <c:v>1.7483256847117559E-2</c:v>
                </c:pt>
                <c:pt idx="156">
                  <c:v>1.7445144967239298E-2</c:v>
                </c:pt>
                <c:pt idx="157">
                  <c:v>1.740722272449027E-2</c:v>
                </c:pt>
                <c:pt idx="158">
                  <c:v>1.7369488648031433E-2</c:v>
                </c:pt>
                <c:pt idx="159">
                  <c:v>1.7331941282498212E-2</c:v>
                </c:pt>
                <c:pt idx="160">
                  <c:v>1.7294579187795169E-2</c:v>
                </c:pt>
                <c:pt idx="161">
                  <c:v>1.725740093889392E-2</c:v>
                </c:pt>
                <c:pt idx="162">
                  <c:v>1.7220405125634299E-2</c:v>
                </c:pt>
                <c:pt idx="163">
                  <c:v>1.7183590352528692E-2</c:v>
                </c:pt>
                <c:pt idx="164">
                  <c:v>1.7146955238569461E-2</c:v>
                </c:pt>
                <c:pt idx="165">
                  <c:v>1.7110498417039426E-2</c:v>
                </c:pt>
                <c:pt idx="166">
                  <c:v>1.7074218535325342E-2</c:v>
                </c:pt>
                <c:pt idx="167">
                  <c:v>1.70381142547343E-2</c:v>
                </c:pt>
                <c:pt idx="168">
                  <c:v>1.7002184250313017E-2</c:v>
                </c:pt>
                <c:pt idx="169">
                  <c:v>1.6966427210669963E-2</c:v>
                </c:pt>
                <c:pt idx="170">
                  <c:v>1.6930841837800251E-2</c:v>
                </c:pt>
                <c:pt idx="171">
                  <c:v>1.6895426846913277E-2</c:v>
                </c:pt>
                <c:pt idx="172">
                  <c:v>1.6860180966262985E-2</c:v>
                </c:pt>
                <c:pt idx="173">
                  <c:v>1.6825102936980849E-2</c:v>
                </c:pt>
                <c:pt idx="174">
                  <c:v>1.6790191512911338E-2</c:v>
                </c:pt>
                <c:pt idx="175">
                  <c:v>1.6755445460449988E-2</c:v>
                </c:pt>
                <c:pt idx="176">
                  <c:v>1.6720863558383921E-2</c:v>
                </c:pt>
                <c:pt idx="177">
                  <c:v>1.6686444597734836E-2</c:v>
                </c:pt>
                <c:pt idx="178">
                  <c:v>1.6652187381604379E-2</c:v>
                </c:pt>
                <c:pt idx="179">
                  <c:v>1.6618090725021874E-2</c:v>
                </c:pt>
                <c:pt idx="180">
                  <c:v>1.658415345479438E-2</c:v>
                </c:pt>
                <c:pt idx="181">
                  <c:v>1.6550374409359012E-2</c:v>
                </c:pt>
                <c:pt idx="182">
                  <c:v>1.65167524386375E-2</c:v>
                </c:pt>
                <c:pt idx="183">
                  <c:v>1.6483286403892926E-2</c:v>
                </c:pt>
                <c:pt idx="184">
                  <c:v>1.6449975177588661E-2</c:v>
                </c:pt>
                <c:pt idx="185">
                  <c:v>1.6416817643249353E-2</c:v>
                </c:pt>
                <c:pt idx="186">
                  <c:v>1.6383812695324063E-2</c:v>
                </c:pt>
                <c:pt idx="187">
                  <c:v>1.6350959239051381E-2</c:v>
                </c:pt>
                <c:pt idx="188">
                  <c:v>1.6318256190326612E-2</c:v>
                </c:pt>
                <c:pt idx="189">
                  <c:v>1.6285702475570873E-2</c:v>
                </c:pt>
                <c:pt idx="190">
                  <c:v>1.62532970316022E-2</c:v>
                </c:pt>
                <c:pt idx="191">
                  <c:v>1.6221038805508483E-2</c:v>
                </c:pt>
                <c:pt idx="192">
                  <c:v>1.6188926754522319E-2</c:v>
                </c:pt>
                <c:pt idx="193">
                  <c:v>1.6156959845897725E-2</c:v>
                </c:pt>
                <c:pt idx="194">
                  <c:v>1.6125137056788585E-2</c:v>
                </c:pt>
                <c:pt idx="195">
                  <c:v>1.6093457374128966E-2</c:v>
                </c:pt>
                <c:pt idx="196">
                  <c:v>1.6061919794515087E-2</c:v>
                </c:pt>
                <c:pt idx="197">
                  <c:v>1.6030523324089101E-2</c:v>
                </c:pt>
                <c:pt idx="198">
                  <c:v>1.5999266978424475E-2</c:v>
                </c:pt>
                <c:pt idx="199">
                  <c:v>1.5968149782413101E-2</c:v>
                </c:pt>
                <c:pt idx="200">
                  <c:v>1.5937170770154E-2</c:v>
                </c:pt>
                <c:pt idx="201">
                  <c:v>1.5906328984843614E-2</c:v>
                </c:pt>
                <c:pt idx="202">
                  <c:v>1.5875623478667729E-2</c:v>
                </c:pt>
                <c:pt idx="203">
                  <c:v>1.5845053312694903E-2</c:v>
                </c:pt>
                <c:pt idx="204">
                  <c:v>1.5814617556771417E-2</c:v>
                </c:pt>
                <c:pt idx="205">
                  <c:v>1.5784315289417771E-2</c:v>
                </c:pt>
                <c:pt idx="206">
                  <c:v>1.5754145597726591E-2</c:v>
                </c:pt>
                <c:pt idx="207">
                  <c:v>1.572410757726202E-2</c:v>
                </c:pt>
                <c:pt idx="208">
                  <c:v>1.5694200331960548E-2</c:v>
                </c:pt>
                <c:pt idx="209">
                  <c:v>1.5664422974033192E-2</c:v>
                </c:pt>
                <c:pt idx="210">
                  <c:v>1.5634774623869113E-2</c:v>
                </c:pt>
                <c:pt idx="211">
                  <c:v>1.5605254409940544E-2</c:v>
                </c:pt>
                <c:pt idx="212">
                  <c:v>1.5575861468709071E-2</c:v>
                </c:pt>
                <c:pt idx="213">
                  <c:v>1.5546594944533225E-2</c:v>
                </c:pt>
                <c:pt idx="214">
                  <c:v>1.551745398957736E-2</c:v>
                </c:pt>
                <c:pt idx="215">
                  <c:v>1.5488437763721802E-2</c:v>
                </c:pt>
                <c:pt idx="216">
                  <c:v>1.5459545434474219E-2</c:v>
                </c:pt>
                <c:pt idx="217">
                  <c:v>1.5430776176882285E-2</c:v>
                </c:pt>
                <c:pt idx="218">
                  <c:v>1.5402129173447481E-2</c:v>
                </c:pt>
                <c:pt idx="219">
                  <c:v>1.5373603614040113E-2</c:v>
                </c:pt>
                <c:pt idx="220">
                  <c:v>1.5345198695815515E-2</c:v>
                </c:pt>
                <c:pt idx="221">
                  <c:v>1.5316913623131371E-2</c:v>
                </c:pt>
                <c:pt idx="222">
                  <c:v>1.5288747607466192E-2</c:v>
                </c:pt>
                <c:pt idx="223">
                  <c:v>1.5260699867338896E-2</c:v>
                </c:pt>
                <c:pt idx="224">
                  <c:v>1.5232769628229481E-2</c:v>
                </c:pt>
                <c:pt idx="225">
                  <c:v>1.5204956122500796E-2</c:v>
                </c:pt>
                <c:pt idx="226">
                  <c:v>1.5177258589321342E-2</c:v>
                </c:pt>
                <c:pt idx="227">
                  <c:v>1.5149676274589139E-2</c:v>
                </c:pt>
                <c:pt idx="228">
                  <c:v>1.5122208430856614E-2</c:v>
                </c:pt>
                <c:pt idx="229">
                  <c:v>1.5094854317256521E-2</c:v>
                </c:pt>
                <c:pt idx="230">
                  <c:v>1.5067613199428802E-2</c:v>
                </c:pt>
                <c:pt idx="231">
                  <c:v>1.5040484349448498E-2</c:v>
                </c:pt>
                <c:pt idx="232">
                  <c:v>1.5013467045754566E-2</c:v>
                </c:pt>
                <c:pt idx="233">
                  <c:v>1.4986560573079675E-2</c:v>
                </c:pt>
                <c:pt idx="234">
                  <c:v>1.4959764222380951E-2</c:v>
                </c:pt>
                <c:pt idx="235">
                  <c:v>1.4933077290771585E-2</c:v>
                </c:pt>
                <c:pt idx="236">
                  <c:v>1.4906499081453419E-2</c:v>
                </c:pt>
                <c:pt idx="237">
                  <c:v>1.4880028903650368E-2</c:v>
                </c:pt>
                <c:pt idx="238">
                  <c:v>1.4853666072542751E-2</c:v>
                </c:pt>
                <c:pt idx="239">
                  <c:v>1.482740990920246E-2</c:v>
                </c:pt>
                <c:pt idx="240">
                  <c:v>1.4801259740529024E-2</c:v>
                </c:pt>
                <c:pt idx="241">
                  <c:v>1.4775214899186449E-2</c:v>
                </c:pt>
                <c:pt idx="242">
                  <c:v>1.4749274723540949E-2</c:v>
                </c:pt>
                <c:pt idx="243">
                  <c:v>1.4723438557599427E-2</c:v>
                </c:pt>
                <c:pt idx="244">
                  <c:v>1.4697705750948815E-2</c:v>
                </c:pt>
                <c:pt idx="245">
                  <c:v>1.4672075658696153E-2</c:v>
                </c:pt>
                <c:pt idx="246">
                  <c:v>1.464654764140947E-2</c:v>
                </c:pt>
                <c:pt idx="247">
                  <c:v>1.4621121065059431E-2</c:v>
                </c:pt>
                <c:pt idx="248">
                  <c:v>1.4595795300961723E-2</c:v>
                </c:pt>
                <c:pt idx="249">
                  <c:v>1.4570569725720172E-2</c:v>
                </c:pt>
                <c:pt idx="250">
                  <c:v>1.4545443721170646E-2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6-40AE-8272-B29DFFD929DA}"/>
            </c:ext>
          </c:extLst>
        </c:ser>
        <c:ser>
          <c:idx val="2"/>
          <c:order val="2"/>
          <c:tx>
            <c:strRef>
              <c:f>AEROSOLCorrection!$D$12</c:f>
              <c:strCache>
                <c:ptCount val="1"/>
                <c:pt idx="0">
                  <c:v>RhoRC=Rhow+Rho_a</c:v>
                </c:pt>
              </c:strCache>
            </c:strRef>
          </c:tx>
          <c:spPr>
            <a:ln w="381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AEROSOLCorrection!$D$13:$D$263</c:f>
              <c:numCache>
                <c:formatCode>0.00000</c:formatCode>
                <c:ptCount val="251"/>
                <c:pt idx="0">
                  <c:v>9.187006140042038E-2</c:v>
                </c:pt>
                <c:pt idx="1">
                  <c:v>9.0694346903044398E-2</c:v>
                </c:pt>
                <c:pt idx="2">
                  <c:v>8.900806317802773E-2</c:v>
                </c:pt>
                <c:pt idx="3">
                  <c:v>8.737492585372536E-2</c:v>
                </c:pt>
                <c:pt idx="4">
                  <c:v>8.5711807613323795E-2</c:v>
                </c:pt>
                <c:pt idx="5">
                  <c:v>8.4063463531102334E-2</c:v>
                </c:pt>
                <c:pt idx="6">
                  <c:v>8.2432097401535981E-2</c:v>
                </c:pt>
                <c:pt idx="7">
                  <c:v>8.0406134745312635E-2</c:v>
                </c:pt>
                <c:pt idx="8">
                  <c:v>7.8884434805953169E-2</c:v>
                </c:pt>
                <c:pt idx="9">
                  <c:v>7.7398410696293621E-2</c:v>
                </c:pt>
                <c:pt idx="10">
                  <c:v>7.5604068934535321E-2</c:v>
                </c:pt>
                <c:pt idx="11">
                  <c:v>7.3832937018308301E-2</c:v>
                </c:pt>
                <c:pt idx="12">
                  <c:v>7.2422966355324386E-2</c:v>
                </c:pt>
                <c:pt idx="13">
                  <c:v>7.0781912019926452E-2</c:v>
                </c:pt>
                <c:pt idx="14">
                  <c:v>6.9518036176721296E-2</c:v>
                </c:pt>
                <c:pt idx="15">
                  <c:v>6.8058576596161283E-2</c:v>
                </c:pt>
                <c:pt idx="16">
                  <c:v>6.6822934646932841E-2</c:v>
                </c:pt>
                <c:pt idx="17">
                  <c:v>6.533650858690547E-2</c:v>
                </c:pt>
                <c:pt idx="18">
                  <c:v>6.417659558652658E-2</c:v>
                </c:pt>
                <c:pt idx="19">
                  <c:v>6.2835630841390697E-2</c:v>
                </c:pt>
                <c:pt idx="20">
                  <c:v>6.1834061565258183E-2</c:v>
                </c:pt>
                <c:pt idx="21">
                  <c:v>6.0795448226980978E-2</c:v>
                </c:pt>
                <c:pt idx="22">
                  <c:v>5.9775872368694499E-2</c:v>
                </c:pt>
                <c:pt idx="23">
                  <c:v>5.8808198071946906E-2</c:v>
                </c:pt>
                <c:pt idx="24">
                  <c:v>5.7910186554712445E-2</c:v>
                </c:pt>
                <c:pt idx="25">
                  <c:v>5.709580520593719E-2</c:v>
                </c:pt>
                <c:pt idx="26">
                  <c:v>5.6252123273299412E-2</c:v>
                </c:pt>
                <c:pt idx="27">
                  <c:v>5.5422096534513896E-2</c:v>
                </c:pt>
                <c:pt idx="28">
                  <c:v>5.4629784290906619E-2</c:v>
                </c:pt>
                <c:pt idx="29">
                  <c:v>5.3846203327905837E-2</c:v>
                </c:pt>
                <c:pt idx="30">
                  <c:v>5.3119358883673778E-2</c:v>
                </c:pt>
                <c:pt idx="31">
                  <c:v>5.2369876810230219E-2</c:v>
                </c:pt>
                <c:pt idx="32">
                  <c:v>5.1632909449825806E-2</c:v>
                </c:pt>
                <c:pt idx="33">
                  <c:v>5.0926062021584007E-2</c:v>
                </c:pt>
                <c:pt idx="34">
                  <c:v>5.0104769564544974E-2</c:v>
                </c:pt>
                <c:pt idx="35">
                  <c:v>4.9449293527997991E-2</c:v>
                </c:pt>
                <c:pt idx="36">
                  <c:v>4.8659781452130978E-2</c:v>
                </c:pt>
                <c:pt idx="37">
                  <c:v>4.7884844478979574E-2</c:v>
                </c:pt>
                <c:pt idx="38">
                  <c:v>4.7138014371538833E-2</c:v>
                </c:pt>
                <c:pt idx="39">
                  <c:v>4.6316837769873449E-2</c:v>
                </c:pt>
                <c:pt idx="40">
                  <c:v>4.5546435386736486E-2</c:v>
                </c:pt>
                <c:pt idx="41">
                  <c:v>4.468081344080873E-2</c:v>
                </c:pt>
                <c:pt idx="42">
                  <c:v>4.3866568083182032E-2</c:v>
                </c:pt>
                <c:pt idx="43">
                  <c:v>4.3095110106137022E-2</c:v>
                </c:pt>
                <c:pt idx="44">
                  <c:v>4.2188951292089605E-2</c:v>
                </c:pt>
                <c:pt idx="45">
                  <c:v>4.1348735767177076E-2</c:v>
                </c:pt>
                <c:pt idx="46">
                  <c:v>4.0466610052539327E-2</c:v>
                </c:pt>
                <c:pt idx="47">
                  <c:v>3.9580358129483198E-2</c:v>
                </c:pt>
                <c:pt idx="48">
                  <c:v>3.8623011506555338E-2</c:v>
                </c:pt>
                <c:pt idx="49">
                  <c:v>3.7565923375228127E-2</c:v>
                </c:pt>
                <c:pt idx="50">
                  <c:v>3.6559311072192763E-2</c:v>
                </c:pt>
                <c:pt idx="51">
                  <c:v>3.5551904905197676E-2</c:v>
                </c:pt>
                <c:pt idx="52">
                  <c:v>3.4607348963859835E-2</c:v>
                </c:pt>
                <c:pt idx="53">
                  <c:v>3.3755197844773085E-2</c:v>
                </c:pt>
                <c:pt idx="54">
                  <c:v>3.2952747856493061E-2</c:v>
                </c:pt>
                <c:pt idx="55">
                  <c:v>3.2225678721196652E-2</c:v>
                </c:pt>
                <c:pt idx="56">
                  <c:v>3.1536392642497059E-2</c:v>
                </c:pt>
                <c:pt idx="57">
                  <c:v>3.0930393300732561E-2</c:v>
                </c:pt>
                <c:pt idx="58">
                  <c:v>3.0392965106126976E-2</c:v>
                </c:pt>
                <c:pt idx="59">
                  <c:v>2.9895131509787655E-2</c:v>
                </c:pt>
                <c:pt idx="60">
                  <c:v>2.9648695454173282E-2</c:v>
                </c:pt>
                <c:pt idx="61">
                  <c:v>2.937386641767957E-2</c:v>
                </c:pt>
                <c:pt idx="62">
                  <c:v>2.9333786201588965E-2</c:v>
                </c:pt>
                <c:pt idx="63">
                  <c:v>2.8892302364675708E-2</c:v>
                </c:pt>
                <c:pt idx="64">
                  <c:v>2.8802786197470572E-2</c:v>
                </c:pt>
                <c:pt idx="65">
                  <c:v>2.8563409270475307E-2</c:v>
                </c:pt>
                <c:pt idx="66">
                  <c:v>2.8190691739924119E-2</c:v>
                </c:pt>
                <c:pt idx="67">
                  <c:v>2.7903579358083623E-2</c:v>
                </c:pt>
                <c:pt idx="68">
                  <c:v>2.7591588167393065E-2</c:v>
                </c:pt>
                <c:pt idx="69">
                  <c:v>2.7339808266180578E-2</c:v>
                </c:pt>
                <c:pt idx="70">
                  <c:v>2.704332799259648E-2</c:v>
                </c:pt>
                <c:pt idx="71">
                  <c:v>2.683160682583181E-2</c:v>
                </c:pt>
                <c:pt idx="72">
                  <c:v>2.6474638068116785E-2</c:v>
                </c:pt>
                <c:pt idx="73">
                  <c:v>2.6202723125151577E-2</c:v>
                </c:pt>
                <c:pt idx="74">
                  <c:v>2.5920701645442391E-2</c:v>
                </c:pt>
                <c:pt idx="75">
                  <c:v>2.5625851460539507E-2</c:v>
                </c:pt>
                <c:pt idx="76">
                  <c:v>2.5356705388242459E-2</c:v>
                </c:pt>
                <c:pt idx="77">
                  <c:v>2.5121617093209796E-2</c:v>
                </c:pt>
                <c:pt idx="78">
                  <c:v>2.4926649675804234E-2</c:v>
                </c:pt>
                <c:pt idx="79">
                  <c:v>2.4755110706468797E-2</c:v>
                </c:pt>
                <c:pt idx="80">
                  <c:v>2.4578022901469484E-2</c:v>
                </c:pt>
                <c:pt idx="81">
                  <c:v>2.4406799581533394E-2</c:v>
                </c:pt>
                <c:pt idx="82">
                  <c:v>2.4245691115495453E-2</c:v>
                </c:pt>
                <c:pt idx="83">
                  <c:v>2.4062696291462567E-2</c:v>
                </c:pt>
                <c:pt idx="84">
                  <c:v>2.3899404878840923E-2</c:v>
                </c:pt>
                <c:pt idx="85">
                  <c:v>2.3706461683565556E-2</c:v>
                </c:pt>
                <c:pt idx="86">
                  <c:v>2.3512186759673911E-2</c:v>
                </c:pt>
                <c:pt idx="87">
                  <c:v>2.3315124380538194E-2</c:v>
                </c:pt>
                <c:pt idx="88">
                  <c:v>2.3108720887982836E-2</c:v>
                </c:pt>
                <c:pt idx="89">
                  <c:v>2.2918690320489408E-2</c:v>
                </c:pt>
                <c:pt idx="90">
                  <c:v>2.2697536048909169E-2</c:v>
                </c:pt>
                <c:pt idx="91">
                  <c:v>2.2511947733893239E-2</c:v>
                </c:pt>
                <c:pt idx="92">
                  <c:v>2.2282236941547212E-2</c:v>
                </c:pt>
                <c:pt idx="93">
                  <c:v>2.2075398885519071E-2</c:v>
                </c:pt>
                <c:pt idx="94">
                  <c:v>2.1870440137215393E-2</c:v>
                </c:pt>
                <c:pt idx="95">
                  <c:v>2.1677156432649773E-2</c:v>
                </c:pt>
                <c:pt idx="96">
                  <c:v>2.1504047842022363E-2</c:v>
                </c:pt>
                <c:pt idx="97">
                  <c:v>2.1343233210338663E-2</c:v>
                </c:pt>
                <c:pt idx="98">
                  <c:v>2.1179696408736893E-2</c:v>
                </c:pt>
                <c:pt idx="99">
                  <c:v>2.1017445969076589E-2</c:v>
                </c:pt>
                <c:pt idx="100">
                  <c:v>2.078627114924677E-2</c:v>
                </c:pt>
                <c:pt idx="101">
                  <c:v>2.0674440298067073E-2</c:v>
                </c:pt>
                <c:pt idx="102">
                  <c:v>2.0588160695082638E-2</c:v>
                </c:pt>
                <c:pt idx="103">
                  <c:v>2.0488455205052894E-2</c:v>
                </c:pt>
                <c:pt idx="104">
                  <c:v>2.0412652387316235E-2</c:v>
                </c:pt>
                <c:pt idx="105">
                  <c:v>2.0345434514593676E-2</c:v>
                </c:pt>
                <c:pt idx="106">
                  <c:v>2.0282487432250425E-2</c:v>
                </c:pt>
                <c:pt idx="107">
                  <c:v>2.0219941444600271E-2</c:v>
                </c:pt>
                <c:pt idx="108">
                  <c:v>2.0158255328249539E-2</c:v>
                </c:pt>
                <c:pt idx="109">
                  <c:v>2.0097847534454861E-2</c:v>
                </c:pt>
                <c:pt idx="110">
                  <c:v>2.0037121904443039E-2</c:v>
                </c:pt>
                <c:pt idx="111">
                  <c:v>1.9976141505239655E-2</c:v>
                </c:pt>
                <c:pt idx="112">
                  <c:v>1.9915791130969394E-2</c:v>
                </c:pt>
                <c:pt idx="113">
                  <c:v>1.9856852512538856E-2</c:v>
                </c:pt>
                <c:pt idx="114">
                  <c:v>1.9797693438470796E-2</c:v>
                </c:pt>
                <c:pt idx="115">
                  <c:v>1.9738367123571202E-2</c:v>
                </c:pt>
                <c:pt idx="116">
                  <c:v>1.9679659925631064E-2</c:v>
                </c:pt>
                <c:pt idx="117">
                  <c:v>1.962332258907418E-2</c:v>
                </c:pt>
                <c:pt idx="118">
                  <c:v>1.9566785225667904E-2</c:v>
                </c:pt>
                <c:pt idx="119">
                  <c:v>1.9508926200225755E-2</c:v>
                </c:pt>
                <c:pt idx="120">
                  <c:v>1.9452167505753255E-2</c:v>
                </c:pt>
                <c:pt idx="121">
                  <c:v>1.9396288695308257E-2</c:v>
                </c:pt>
                <c:pt idx="122">
                  <c:v>1.9340339566335199E-2</c:v>
                </c:pt>
                <c:pt idx="123">
                  <c:v>1.928422299968616E-2</c:v>
                </c:pt>
                <c:pt idx="124">
                  <c:v>1.9228986036021585E-2</c:v>
                </c:pt>
                <c:pt idx="125">
                  <c:v>1.9172679585597766E-2</c:v>
                </c:pt>
                <c:pt idx="126">
                  <c:v>1.9117687895662813E-2</c:v>
                </c:pt>
                <c:pt idx="127">
                  <c:v>1.9061534250526778E-2</c:v>
                </c:pt>
                <c:pt idx="128">
                  <c:v>1.9003250911810019E-2</c:v>
                </c:pt>
                <c:pt idx="129">
                  <c:v>1.8941209877381023E-2</c:v>
                </c:pt>
                <c:pt idx="130">
                  <c:v>1.8878000242346465E-2</c:v>
                </c:pt>
                <c:pt idx="131">
                  <c:v>1.8817966685492564E-2</c:v>
                </c:pt>
                <c:pt idx="132">
                  <c:v>1.8763788490444064E-2</c:v>
                </c:pt>
                <c:pt idx="133">
                  <c:v>1.8713249975544223E-2</c:v>
                </c:pt>
                <c:pt idx="134">
                  <c:v>1.8665372544184506E-2</c:v>
                </c:pt>
                <c:pt idx="135">
                  <c:v>1.8617994404706576E-2</c:v>
                </c:pt>
                <c:pt idx="136">
                  <c:v>1.8570639223247566E-2</c:v>
                </c:pt>
                <c:pt idx="137">
                  <c:v>1.8524007082917501E-2</c:v>
                </c:pt>
                <c:pt idx="138">
                  <c:v>1.8475683746252681E-2</c:v>
                </c:pt>
                <c:pt idx="139">
                  <c:v>1.842800109452241E-2</c:v>
                </c:pt>
                <c:pt idx="140">
                  <c:v>1.8380645549081833E-2</c:v>
                </c:pt>
                <c:pt idx="141">
                  <c:v>1.8332673452839149E-2</c:v>
                </c:pt>
                <c:pt idx="142">
                  <c:v>1.828424683642732E-2</c:v>
                </c:pt>
                <c:pt idx="143">
                  <c:v>1.8235704164536504E-2</c:v>
                </c:pt>
                <c:pt idx="144">
                  <c:v>1.8186877454103398E-2</c:v>
                </c:pt>
                <c:pt idx="145">
                  <c:v>1.813792015643018E-2</c:v>
                </c:pt>
                <c:pt idx="146">
                  <c:v>1.8088094889711855E-2</c:v>
                </c:pt>
                <c:pt idx="147">
                  <c:v>1.803784945780125E-2</c:v>
                </c:pt>
                <c:pt idx="148">
                  <c:v>1.7988273409858573E-2</c:v>
                </c:pt>
                <c:pt idx="149">
                  <c:v>1.7937390876735342E-2</c:v>
                </c:pt>
                <c:pt idx="150">
                  <c:v>1.78866772203298E-2</c:v>
                </c:pt>
                <c:pt idx="151">
                  <c:v>1.7836448104100483E-2</c:v>
                </c:pt>
                <c:pt idx="152">
                  <c:v>1.7786361439041498E-2</c:v>
                </c:pt>
                <c:pt idx="153">
                  <c:v>1.7737078752172886E-2</c:v>
                </c:pt>
                <c:pt idx="154">
                  <c:v>1.7688041706459091E-2</c:v>
                </c:pt>
                <c:pt idx="155">
                  <c:v>1.7639053984094166E-2</c:v>
                </c:pt>
                <c:pt idx="156">
                  <c:v>1.7590386428335679E-2</c:v>
                </c:pt>
                <c:pt idx="157">
                  <c:v>1.7541938087972272E-2</c:v>
                </c:pt>
                <c:pt idx="158">
                  <c:v>1.7493440378179025E-2</c:v>
                </c:pt>
                <c:pt idx="159">
                  <c:v>1.7445465813883437E-2</c:v>
                </c:pt>
                <c:pt idx="160">
                  <c:v>1.7398294280323249E-2</c:v>
                </c:pt>
                <c:pt idx="161">
                  <c:v>1.7351929095201127E-2</c:v>
                </c:pt>
                <c:pt idx="162">
                  <c:v>1.7306801956056498E-2</c:v>
                </c:pt>
                <c:pt idx="163">
                  <c:v>1.7262883898594438E-2</c:v>
                </c:pt>
                <c:pt idx="164">
                  <c:v>1.7219578511217658E-2</c:v>
                </c:pt>
                <c:pt idx="165">
                  <c:v>1.7176632316360633E-2</c:v>
                </c:pt>
                <c:pt idx="166">
                  <c:v>1.7133775020504224E-2</c:v>
                </c:pt>
                <c:pt idx="167">
                  <c:v>1.7091174249965882E-2</c:v>
                </c:pt>
                <c:pt idx="168">
                  <c:v>1.7049719696491758E-2</c:v>
                </c:pt>
                <c:pt idx="169">
                  <c:v>1.7009944611720444E-2</c:v>
                </c:pt>
                <c:pt idx="170">
                  <c:v>1.6971703785974217E-2</c:v>
                </c:pt>
                <c:pt idx="171">
                  <c:v>1.693459302970229E-2</c:v>
                </c:pt>
                <c:pt idx="172">
                  <c:v>1.689835956841497E-2</c:v>
                </c:pt>
                <c:pt idx="173">
                  <c:v>1.6862600442614846E-2</c:v>
                </c:pt>
                <c:pt idx="174">
                  <c:v>1.6827165619250933E-2</c:v>
                </c:pt>
                <c:pt idx="175">
                  <c:v>1.6792009702732837E-2</c:v>
                </c:pt>
                <c:pt idx="176">
                  <c:v>1.675707623184184E-2</c:v>
                </c:pt>
                <c:pt idx="177">
                  <c:v>1.6722329269523967E-2</c:v>
                </c:pt>
                <c:pt idx="178">
                  <c:v>1.6687750107479419E-2</c:v>
                </c:pt>
                <c:pt idx="179">
                  <c:v>1.6653308094035004E-2</c:v>
                </c:pt>
                <c:pt idx="180">
                  <c:v>1.6619035737507119E-2</c:v>
                </c:pt>
                <c:pt idx="181">
                  <c:v>1.6585000112570997E-2</c:v>
                </c:pt>
                <c:pt idx="182">
                  <c:v>1.6551142320777711E-2</c:v>
                </c:pt>
                <c:pt idx="183">
                  <c:v>1.6517505203153628E-2</c:v>
                </c:pt>
                <c:pt idx="184">
                  <c:v>1.6484086943879879E-2</c:v>
                </c:pt>
                <c:pt idx="185">
                  <c:v>1.6450796147992268E-2</c:v>
                </c:pt>
                <c:pt idx="186">
                  <c:v>1.6417650259404233E-2</c:v>
                </c:pt>
                <c:pt idx="187">
                  <c:v>1.6384802410176705E-2</c:v>
                </c:pt>
                <c:pt idx="188">
                  <c:v>1.6352146540176329E-2</c:v>
                </c:pt>
                <c:pt idx="189">
                  <c:v>1.6319634659744689E-2</c:v>
                </c:pt>
                <c:pt idx="190">
                  <c:v>1.6287408562720769E-2</c:v>
                </c:pt>
                <c:pt idx="191">
                  <c:v>1.6255274082046002E-2</c:v>
                </c:pt>
                <c:pt idx="192">
                  <c:v>1.6223306756637967E-2</c:v>
                </c:pt>
                <c:pt idx="193">
                  <c:v>1.6191611194970212E-2</c:v>
                </c:pt>
                <c:pt idx="194">
                  <c:v>1.616007981466663E-2</c:v>
                </c:pt>
                <c:pt idx="195">
                  <c:v>1.6128765017484545E-2</c:v>
                </c:pt>
                <c:pt idx="196">
                  <c:v>1.6097653905789752E-2</c:v>
                </c:pt>
                <c:pt idx="197">
                  <c:v>1.6066634749232128E-2</c:v>
                </c:pt>
                <c:pt idx="198">
                  <c:v>1.6035683489564367E-2</c:v>
                </c:pt>
                <c:pt idx="199">
                  <c:v>1.6004991588453157E-2</c:v>
                </c:pt>
                <c:pt idx="200">
                  <c:v>1.5974439548479252E-2</c:v>
                </c:pt>
                <c:pt idx="201">
                  <c:v>1.5944466362640089E-2</c:v>
                </c:pt>
                <c:pt idx="202">
                  <c:v>1.5913853971628016E-2</c:v>
                </c:pt>
                <c:pt idx="203">
                  <c:v>1.5883271352823802E-2</c:v>
                </c:pt>
                <c:pt idx="204">
                  <c:v>1.5852715946496013E-2</c:v>
                </c:pt>
                <c:pt idx="205">
                  <c:v>1.5822296073388694E-2</c:v>
                </c:pt>
                <c:pt idx="206">
                  <c:v>1.5791673087236634E-2</c:v>
                </c:pt>
                <c:pt idx="207">
                  <c:v>1.5761190107720497E-2</c:v>
                </c:pt>
                <c:pt idx="208">
                  <c:v>1.5730614545897654E-2</c:v>
                </c:pt>
                <c:pt idx="209">
                  <c:v>1.5699966221158351E-2</c:v>
                </c:pt>
                <c:pt idx="210">
                  <c:v>1.5669481021350847E-2</c:v>
                </c:pt>
                <c:pt idx="211">
                  <c:v>1.5638135548636408E-2</c:v>
                </c:pt>
                <c:pt idx="212">
                  <c:v>1.5607084930025432E-2</c:v>
                </c:pt>
                <c:pt idx="213">
                  <c:v>1.5575875525995786E-2</c:v>
                </c:pt>
                <c:pt idx="214">
                  <c:v>1.5544631052711273E-2</c:v>
                </c:pt>
                <c:pt idx="215">
                  <c:v>1.5513776922080755E-2</c:v>
                </c:pt>
                <c:pt idx="216">
                  <c:v>1.5482961512629513E-2</c:v>
                </c:pt>
                <c:pt idx="217">
                  <c:v>1.5452525823380935E-2</c:v>
                </c:pt>
                <c:pt idx="218">
                  <c:v>1.5422796965249863E-2</c:v>
                </c:pt>
                <c:pt idx="219">
                  <c:v>1.539363885448498E-2</c:v>
                </c:pt>
                <c:pt idx="220">
                  <c:v>1.5364634223082173E-2</c:v>
                </c:pt>
                <c:pt idx="221">
                  <c:v>1.5336009646818631E-2</c:v>
                </c:pt>
                <c:pt idx="222">
                  <c:v>1.5307513642690347E-2</c:v>
                </c:pt>
                <c:pt idx="223">
                  <c:v>1.5279146503827125E-2</c:v>
                </c:pt>
                <c:pt idx="224">
                  <c:v>1.5250906984853116E-2</c:v>
                </c:pt>
                <c:pt idx="225">
                  <c:v>1.5222792515046216E-2</c:v>
                </c:pt>
                <c:pt idx="226">
                  <c:v>1.5194828495870826E-2</c:v>
                </c:pt>
                <c:pt idx="227">
                  <c:v>1.5166986030004506E-2</c:v>
                </c:pt>
                <c:pt idx="228">
                  <c:v>1.5139249678216393E-2</c:v>
                </c:pt>
                <c:pt idx="229">
                  <c:v>1.5111619630377474E-2</c:v>
                </c:pt>
                <c:pt idx="230">
                  <c:v>1.508410976239314E-2</c:v>
                </c:pt>
                <c:pt idx="231">
                  <c:v>1.5056652161568467E-2</c:v>
                </c:pt>
                <c:pt idx="232">
                  <c:v>1.5029316885699284E-2</c:v>
                </c:pt>
                <c:pt idx="233">
                  <c:v>1.5002119962329351E-2</c:v>
                </c:pt>
                <c:pt idx="234">
                  <c:v>1.4975058592721019E-2</c:v>
                </c:pt>
                <c:pt idx="235">
                  <c:v>1.494811397720746E-2</c:v>
                </c:pt>
                <c:pt idx="236">
                  <c:v>1.4921210043805682E-2</c:v>
                </c:pt>
                <c:pt idx="237">
                  <c:v>1.4894425910205032E-2</c:v>
                </c:pt>
                <c:pt idx="238">
                  <c:v>1.4867687863826227E-2</c:v>
                </c:pt>
                <c:pt idx="239">
                  <c:v>1.4841004734872975E-2</c:v>
                </c:pt>
                <c:pt idx="240">
                  <c:v>1.4814450012173982E-2</c:v>
                </c:pt>
                <c:pt idx="241">
                  <c:v>1.4788087021523292E-2</c:v>
                </c:pt>
                <c:pt idx="242">
                  <c:v>1.4761841689713512E-2</c:v>
                </c:pt>
                <c:pt idx="243">
                  <c:v>1.4735713875257614E-2</c:v>
                </c:pt>
                <c:pt idx="244">
                  <c:v>1.4709702075972605E-2</c:v>
                </c:pt>
                <c:pt idx="245">
                  <c:v>1.4683803698512238E-2</c:v>
                </c:pt>
                <c:pt idx="246">
                  <c:v>1.4658019917667933E-2</c:v>
                </c:pt>
                <c:pt idx="247">
                  <c:v>1.4632346977879121E-2</c:v>
                </c:pt>
                <c:pt idx="248">
                  <c:v>1.4606782225008713E-2</c:v>
                </c:pt>
                <c:pt idx="249">
                  <c:v>1.4581324753447174E-2</c:v>
                </c:pt>
                <c:pt idx="250">
                  <c:v>1.4555975099774084E-2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46-40AE-8272-B29DFFD929DA}"/>
            </c:ext>
          </c:extLst>
        </c:ser>
        <c:ser>
          <c:idx val="3"/>
          <c:order val="3"/>
          <c:tx>
            <c:strRef>
              <c:f>AEROSOLCorrection!$E$12</c:f>
              <c:strCache>
                <c:ptCount val="1"/>
                <c:pt idx="0">
                  <c:v>RhowOUT(DP)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AEROSOLCorrection!$E$13:$E$263</c:f>
              <c:numCache>
                <c:formatCode>0.00000</c:formatCode>
                <c:ptCount val="251"/>
                <c:pt idx="0">
                  <c:v>6.4377442435865809E-2</c:v>
                </c:pt>
                <c:pt idx="1">
                  <c:v>6.3309046826970361E-2</c:v>
                </c:pt>
                <c:pt idx="2">
                  <c:v>6.1729133574071067E-2</c:v>
                </c:pt>
                <c:pt idx="3">
                  <c:v>6.0201431320213779E-2</c:v>
                </c:pt>
                <c:pt idx="4">
                  <c:v>5.864282552172552E-2</c:v>
                </c:pt>
                <c:pt idx="5">
                  <c:v>5.7098083790116008E-2</c:v>
                </c:pt>
                <c:pt idx="6">
                  <c:v>5.5569422226662259E-2</c:v>
                </c:pt>
                <c:pt idx="7">
                  <c:v>5.3645278433754225E-2</c:v>
                </c:pt>
                <c:pt idx="8">
                  <c:v>5.2224523516695119E-2</c:v>
                </c:pt>
                <c:pt idx="9">
                  <c:v>5.0838582235220323E-2</c:v>
                </c:pt>
                <c:pt idx="10">
                  <c:v>4.914347254444551E-2</c:v>
                </c:pt>
                <c:pt idx="11">
                  <c:v>4.7470733173693686E-2</c:v>
                </c:pt>
                <c:pt idx="12">
                  <c:v>4.6158326561781843E-2</c:v>
                </c:pt>
                <c:pt idx="13">
                  <c:v>4.4614018618077941E-2</c:v>
                </c:pt>
                <c:pt idx="14">
                  <c:v>4.3446082150519524E-2</c:v>
                </c:pt>
                <c:pt idx="15">
                  <c:v>4.2081765385463196E-2</c:v>
                </c:pt>
                <c:pt idx="16">
                  <c:v>4.0940479964226444E-2</c:v>
                </c:pt>
                <c:pt idx="17">
                  <c:v>3.9547634238079304E-2</c:v>
                </c:pt>
                <c:pt idx="18">
                  <c:v>3.8480535295574533E-2</c:v>
                </c:pt>
                <c:pt idx="19">
                  <c:v>3.7231628078948129E-2</c:v>
                </c:pt>
                <c:pt idx="20">
                  <c:v>3.6321369380868614E-2</c:v>
                </c:pt>
                <c:pt idx="21">
                  <c:v>3.5373329084995617E-2</c:v>
                </c:pt>
                <c:pt idx="22">
                  <c:v>3.4443597987709962E-2</c:v>
                </c:pt>
                <c:pt idx="23">
                  <c:v>3.3565049267689238E-2</c:v>
                </c:pt>
                <c:pt idx="24">
                  <c:v>3.2755453086278474E-2</c:v>
                </c:pt>
                <c:pt idx="25">
                  <c:v>3.2028785625306852E-2</c:v>
                </c:pt>
                <c:pt idx="26">
                  <c:v>3.1272124778035232E-2</c:v>
                </c:pt>
                <c:pt idx="27">
                  <c:v>3.0528434823566465E-2</c:v>
                </c:pt>
                <c:pt idx="28">
                  <c:v>2.9821783423447164E-2</c:v>
                </c:pt>
                <c:pt idx="29">
                  <c:v>2.912319558510941E-2</c:v>
                </c:pt>
                <c:pt idx="30">
                  <c:v>2.8480684633378831E-2</c:v>
                </c:pt>
                <c:pt idx="31">
                  <c:v>2.7814884374402497E-2</c:v>
                </c:pt>
                <c:pt idx="32">
                  <c:v>2.7160954974756627E-2</c:v>
                </c:pt>
                <c:pt idx="33">
                  <c:v>2.653650935075497E-2</c:v>
                </c:pt>
                <c:pt idx="34">
                  <c:v>2.5796990114093234E-2</c:v>
                </c:pt>
                <c:pt idx="35">
                  <c:v>2.5222666164717959E-2</c:v>
                </c:pt>
                <c:pt idx="36">
                  <c:v>2.4513692373950357E-2</c:v>
                </c:pt>
                <c:pt idx="37">
                  <c:v>2.3818687097849237E-2</c:v>
                </c:pt>
                <c:pt idx="38">
                  <c:v>2.3151189198677886E-2</c:v>
                </c:pt>
                <c:pt idx="39">
                  <c:v>2.2408752303312435E-2</c:v>
                </c:pt>
                <c:pt idx="40">
                  <c:v>2.1716504001103365E-2</c:v>
                </c:pt>
                <c:pt idx="41">
                  <c:v>2.0928457279303713E-2</c:v>
                </c:pt>
                <c:pt idx="42">
                  <c:v>2.019121495168897E-2</c:v>
                </c:pt>
                <c:pt idx="43">
                  <c:v>1.9496194369420475E-2</c:v>
                </c:pt>
                <c:pt idx="44">
                  <c:v>1.8665913772028114E-2</c:v>
                </c:pt>
                <c:pt idx="45">
                  <c:v>1.7901023642984532E-2</c:v>
                </c:pt>
                <c:pt idx="46">
                  <c:v>1.7093676762927695E-2</c:v>
                </c:pt>
                <c:pt idx="47">
                  <c:v>1.6281663276721099E-2</c:v>
                </c:pt>
                <c:pt idx="48">
                  <c:v>1.5398020762378249E-2</c:v>
                </c:pt>
                <c:pt idx="49">
                  <c:v>1.4414108388557188E-2</c:v>
                </c:pt>
                <c:pt idx="50">
                  <c:v>1.3480149378620299E-2</c:v>
                </c:pt>
                <c:pt idx="51">
                  <c:v>1.2544879838198721E-2</c:v>
                </c:pt>
                <c:pt idx="52">
                  <c:v>1.1671949567690031E-2</c:v>
                </c:pt>
                <c:pt idx="53">
                  <c:v>1.0890918789014357E-2</c:v>
                </c:pt>
                <c:pt idx="54">
                  <c:v>1.015908935220956E-2</c:v>
                </c:pt>
                <c:pt idx="55">
                  <c:v>9.5021464386644029E-3</c:v>
                </c:pt>
                <c:pt idx="56">
                  <c:v>8.8824976304717508E-3</c:v>
                </c:pt>
                <c:pt idx="57">
                  <c:v>8.3456519072208427E-3</c:v>
                </c:pt>
                <c:pt idx="58">
                  <c:v>7.8768989006275242E-3</c:v>
                </c:pt>
                <c:pt idx="59">
                  <c:v>7.4472672069692269E-3</c:v>
                </c:pt>
                <c:pt idx="60">
                  <c:v>7.2685648389576862E-3</c:v>
                </c:pt>
                <c:pt idx="61">
                  <c:v>7.0610062716984917E-3</c:v>
                </c:pt>
                <c:pt idx="62">
                  <c:v>7.0877382309842384E-3</c:v>
                </c:pt>
                <c:pt idx="63">
                  <c:v>6.7126131292135315E-3</c:v>
                </c:pt>
                <c:pt idx="64">
                  <c:v>6.6890070409408066E-3</c:v>
                </c:pt>
                <c:pt idx="65">
                  <c:v>6.5150962523478628E-3</c:v>
                </c:pt>
                <c:pt idx="66">
                  <c:v>6.2074055682350068E-3</c:v>
                </c:pt>
                <c:pt idx="67">
                  <c:v>5.9848853235241195E-3</c:v>
                </c:pt>
                <c:pt idx="68">
                  <c:v>5.7370560785758931E-3</c:v>
                </c:pt>
                <c:pt idx="69">
                  <c:v>5.5490123860579138E-3</c:v>
                </c:pt>
                <c:pt idx="70">
                  <c:v>5.3158469760049842E-3</c:v>
                </c:pt>
                <c:pt idx="71">
                  <c:v>5.1670236581406945E-3</c:v>
                </c:pt>
                <c:pt idx="72">
                  <c:v>4.8725400049554196E-3</c:v>
                </c:pt>
                <c:pt idx="73">
                  <c:v>4.6627016331937735E-3</c:v>
                </c:pt>
                <c:pt idx="74">
                  <c:v>4.4423523442249993E-3</c:v>
                </c:pt>
                <c:pt idx="75">
                  <c:v>4.2087740652936474E-3</c:v>
                </c:pt>
                <c:pt idx="76">
                  <c:v>4.000503653716049E-3</c:v>
                </c:pt>
                <c:pt idx="77">
                  <c:v>3.8258987584607815E-3</c:v>
                </c:pt>
                <c:pt idx="78">
                  <c:v>3.691026409944221E-3</c:v>
                </c:pt>
                <c:pt idx="79">
                  <c:v>3.5791980553374243E-3</c:v>
                </c:pt>
                <c:pt idx="80">
                  <c:v>3.4614402352203047E-3</c:v>
                </c:pt>
                <c:pt idx="81">
                  <c:v>3.349170043112467E-3</c:v>
                </c:pt>
                <c:pt idx="82">
                  <c:v>3.2466415699943414E-3</c:v>
                </c:pt>
                <c:pt idx="83">
                  <c:v>3.121857276327876E-3</c:v>
                </c:pt>
                <c:pt idx="84">
                  <c:v>3.0164105549229207E-3</c:v>
                </c:pt>
                <c:pt idx="85">
                  <c:v>2.8809497869888082E-3</c:v>
                </c:pt>
                <c:pt idx="86">
                  <c:v>2.7437985545133541E-3</c:v>
                </c:pt>
                <c:pt idx="87">
                  <c:v>2.6035046122843582E-3</c:v>
                </c:pt>
                <c:pt idx="88">
                  <c:v>2.4535177377804154E-3</c:v>
                </c:pt>
                <c:pt idx="89">
                  <c:v>2.3195553601336287E-3</c:v>
                </c:pt>
                <c:pt idx="90">
                  <c:v>2.1541241965848806E-3</c:v>
                </c:pt>
                <c:pt idx="91">
                  <c:v>2.0239172106419588E-3</c:v>
                </c:pt>
                <c:pt idx="92">
                  <c:v>1.8492492284476816E-3</c:v>
                </c:pt>
                <c:pt idx="93">
                  <c:v>1.6971186815672376E-3</c:v>
                </c:pt>
                <c:pt idx="94">
                  <c:v>1.5465353178900458E-3</c:v>
                </c:pt>
                <c:pt idx="95">
                  <c:v>1.4072980091504109E-3</c:v>
                </c:pt>
                <c:pt idx="96">
                  <c:v>1.2879099211661263E-3</c:v>
                </c:pt>
                <c:pt idx="97">
                  <c:v>1.1804929551034807E-3</c:v>
                </c:pt>
                <c:pt idx="98">
                  <c:v>1.0700339994383357E-3</c:v>
                </c:pt>
                <c:pt idx="99">
                  <c:v>9.6054456516612291E-4</c:v>
                </c:pt>
                <c:pt idx="100">
                  <c:v>7.8181685171947041E-4</c:v>
                </c:pt>
                <c:pt idx="101">
                  <c:v>7.2212211246703781E-4</c:v>
                </c:pt>
                <c:pt idx="102">
                  <c:v>6.8767049509467146E-4</c:v>
                </c:pt>
                <c:pt idx="103">
                  <c:v>6.3948769666925809E-4</c:v>
                </c:pt>
                <c:pt idx="104">
                  <c:v>6.1490507356754334E-4</c:v>
                </c:pt>
                <c:pt idx="105">
                  <c:v>5.9860766083318431E-4</c:v>
                </c:pt>
                <c:pt idx="106">
                  <c:v>5.8628403198131632E-4</c:v>
                </c:pt>
                <c:pt idx="107">
                  <c:v>5.7406718583562916E-4</c:v>
                </c:pt>
                <c:pt idx="108">
                  <c:v>5.6241856039506224E-4</c:v>
                </c:pt>
                <c:pt idx="109">
                  <c:v>5.5175923570448954E-4</c:v>
                </c:pt>
                <c:pt idx="110">
                  <c:v>5.4049564967795574E-4</c:v>
                </c:pt>
                <c:pt idx="111">
                  <c:v>5.2869343442126307E-4</c:v>
                </c:pt>
                <c:pt idx="112">
                  <c:v>5.1723991801711985E-4</c:v>
                </c:pt>
                <c:pt idx="113">
                  <c:v>5.0691933468383077E-4</c:v>
                </c:pt>
                <c:pt idx="114">
                  <c:v>4.9610194607662556E-4</c:v>
                </c:pt>
                <c:pt idx="115">
                  <c:v>4.8484341041325069E-4</c:v>
                </c:pt>
                <c:pt idx="116">
                  <c:v>4.7393249962587869E-4</c:v>
                </c:pt>
                <c:pt idx="117">
                  <c:v>4.6512234345079742E-4</c:v>
                </c:pt>
                <c:pt idx="118">
                  <c:v>4.5584541057302336E-4</c:v>
                </c:pt>
                <c:pt idx="119">
                  <c:v>4.4498239475492668E-4</c:v>
                </c:pt>
                <c:pt idx="120">
                  <c:v>4.3495759040033596E-4</c:v>
                </c:pt>
                <c:pt idx="121">
                  <c:v>4.2555282482563753E-4</c:v>
                </c:pt>
                <c:pt idx="122">
                  <c:v>4.1582014299739248E-4</c:v>
                </c:pt>
                <c:pt idx="123">
                  <c:v>4.0566464694954257E-4</c:v>
                </c:pt>
                <c:pt idx="124">
                  <c:v>3.9613557257319604E-4</c:v>
                </c:pt>
                <c:pt idx="125">
                  <c:v>3.8528599978625983E-4</c:v>
                </c:pt>
                <c:pt idx="126">
                  <c:v>3.7550232030478248E-4</c:v>
                </c:pt>
                <c:pt idx="127">
                  <c:v>3.6430993808177561E-4</c:v>
                </c:pt>
                <c:pt idx="128">
                  <c:v>3.5074320991780941E-4</c:v>
                </c:pt>
                <c:pt idx="129">
                  <c:v>3.3317620475467255E-4</c:v>
                </c:pt>
                <c:pt idx="130">
                  <c:v>3.1420006501505296E-4</c:v>
                </c:pt>
                <c:pt idx="131">
                  <c:v>2.9816149338736386E-4</c:v>
                </c:pt>
                <c:pt idx="132">
                  <c:v>2.8774177432224629E-4</c:v>
                </c:pt>
                <c:pt idx="133">
                  <c:v>2.807272042442098E-4</c:v>
                </c:pt>
                <c:pt idx="134">
                  <c:v>2.7614114220719799E-4</c:v>
                </c:pt>
                <c:pt idx="135">
                  <c:v>2.7182373011688105E-4</c:v>
                </c:pt>
                <c:pt idx="136">
                  <c:v>2.6730054589066063E-4</c:v>
                </c:pt>
                <c:pt idx="137">
                  <c:v>2.6327356294444937E-4</c:v>
                </c:pt>
                <c:pt idx="138">
                  <c:v>2.5733041295010126E-4</c:v>
                </c:pt>
                <c:pt idx="139">
                  <c:v>2.518048254410224E-4</c:v>
                </c:pt>
                <c:pt idx="140">
                  <c:v>2.4638504945877215E-4</c:v>
                </c:pt>
                <c:pt idx="141">
                  <c:v>2.4012923530906949E-4</c:v>
                </c:pt>
                <c:pt idx="142">
                  <c:v>2.3320120101742378E-4</c:v>
                </c:pt>
                <c:pt idx="143">
                  <c:v>2.2594117894067164E-4</c:v>
                </c:pt>
                <c:pt idx="144">
                  <c:v>2.1818293423075258E-4</c:v>
                </c:pt>
                <c:pt idx="145">
                  <c:v>2.1008164722347705E-4</c:v>
                </c:pt>
                <c:pt idx="146">
                  <c:v>2.0090164623117954E-4</c:v>
                </c:pt>
                <c:pt idx="147">
                  <c:v>1.9109242656858982E-4</c:v>
                </c:pt>
                <c:pt idx="148">
                  <c:v>1.8174521045894593E-4</c:v>
                </c:pt>
                <c:pt idx="149">
                  <c:v>1.7088578367022503E-4</c:v>
                </c:pt>
                <c:pt idx="150">
                  <c:v>1.5999114511868612E-4</c:v>
                </c:pt>
                <c:pt idx="151">
                  <c:v>1.4937857762645571E-4</c:v>
                </c:pt>
                <c:pt idx="152">
                  <c:v>1.3870759413683528E-4</c:v>
                </c:pt>
                <c:pt idx="153">
                  <c:v>1.2864130644076391E-4</c:v>
                </c:pt>
                <c:pt idx="154">
                  <c:v>1.1862294532750256E-4</c:v>
                </c:pt>
                <c:pt idx="155">
                  <c:v>1.084577440982927E-4</c:v>
                </c:pt>
                <c:pt idx="156">
                  <c:v>9.8418080624992216E-5</c:v>
                </c:pt>
                <c:pt idx="157">
                  <c:v>8.8404522038731947E-5</c:v>
                </c:pt>
                <c:pt idx="158">
                  <c:v>7.8149985802789673E-5</c:v>
                </c:pt>
                <c:pt idx="159">
                  <c:v>6.8228473292561431E-5</c:v>
                </c:pt>
                <c:pt idx="160">
                  <c:v>5.8921340564014463E-5</c:v>
                </c:pt>
                <c:pt idx="161">
                  <c:v>5.0233360715495889E-5</c:v>
                </c:pt>
                <c:pt idx="162">
                  <c:v>4.259767146350818E-5</c:v>
                </c:pt>
                <c:pt idx="163">
                  <c:v>3.5986733672187243E-5</c:v>
                </c:pt>
                <c:pt idx="164">
                  <c:v>2.9805546082790901E-5</c:v>
                </c:pt>
                <c:pt idx="165">
                  <c:v>2.3802026842087431E-5</c:v>
                </c:pt>
                <c:pt idx="166">
                  <c:v>1.7707263708248433E-5</c:v>
                </c:pt>
                <c:pt idx="167">
                  <c:v>1.1690250029290639E-5</c:v>
                </c:pt>
                <c:pt idx="168">
                  <c:v>6.6420305204345498E-6</c:v>
                </c:pt>
                <c:pt idx="169">
                  <c:v>3.0971959102121804E-6</c:v>
                </c:pt>
                <c:pt idx="170">
                  <c:v>9.1186191125344762E-7</c:v>
                </c:pt>
                <c:pt idx="171">
                  <c:v>-3.1684915979129924E-7</c:v>
                </c:pt>
                <c:pt idx="172">
                  <c:v>-8.404132741009207E-7</c:v>
                </c:pt>
                <c:pt idx="173">
                  <c:v>-1.0605045882260133E-6</c:v>
                </c:pt>
                <c:pt idx="174">
                  <c:v>-1.125883821357504E-6</c:v>
                </c:pt>
                <c:pt idx="175">
                  <c:v>-1.0806870751126074E-6</c:v>
                </c:pt>
                <c:pt idx="176">
                  <c:v>-9.8012875901498653E-7</c:v>
                </c:pt>
                <c:pt idx="177">
                  <c:v>-8.589116364532412E-7</c:v>
                </c:pt>
                <c:pt idx="178">
                  <c:v>-7.3452207677640602E-7</c:v>
                </c:pt>
                <c:pt idx="179">
                  <c:v>-6.36402026788635E-7</c:v>
                </c:pt>
                <c:pt idx="180">
                  <c:v>-5.3084549407958481E-7</c:v>
                </c:pt>
                <c:pt idx="181">
                  <c:v>-3.4959202639336939E-7</c:v>
                </c:pt>
                <c:pt idx="182">
                  <c:v>-1.5036604560439426E-7</c:v>
                </c:pt>
                <c:pt idx="183">
                  <c:v>1.1083589859448018E-7</c:v>
                </c:pt>
                <c:pt idx="184">
                  <c:v>4.3334895274277363E-7</c:v>
                </c:pt>
                <c:pt idx="185">
                  <c:v>7.2691780194505951E-7</c:v>
                </c:pt>
                <c:pt idx="186">
                  <c:v>1.0101148331560783E-6</c:v>
                </c:pt>
                <c:pt idx="187">
                  <c:v>1.4371895431901371E-6</c:v>
                </c:pt>
                <c:pt idx="188">
                  <c:v>1.903188333124417E-6</c:v>
                </c:pt>
                <c:pt idx="189">
                  <c:v>2.3612173116055457E-6</c:v>
                </c:pt>
                <c:pt idx="190">
                  <c:v>2.9541554494409705E-6</c:v>
                </c:pt>
                <c:pt idx="191">
                  <c:v>3.48891031481946E-6</c:v>
                </c:pt>
                <c:pt idx="192">
                  <c:v>4.0420850752412307E-6</c:v>
                </c:pt>
                <c:pt idx="193">
                  <c:v>4.7193422037135335E-6</c:v>
                </c:pt>
                <c:pt idx="194">
                  <c:v>5.4141431976087451E-6</c:v>
                </c:pt>
                <c:pt idx="195">
                  <c:v>6.1799236844642391E-6</c:v>
                </c:pt>
                <c:pt idx="196">
                  <c:v>7.0048100178493611E-6</c:v>
                </c:pt>
                <c:pt idx="197">
                  <c:v>7.7780860721667067E-6</c:v>
                </c:pt>
                <c:pt idx="198">
                  <c:v>8.4766981787269546E-6</c:v>
                </c:pt>
                <c:pt idx="199">
                  <c:v>9.2931030526537117E-6</c:v>
                </c:pt>
                <c:pt idx="200">
                  <c:v>1.0108788906938032E-5</c:v>
                </c:pt>
                <c:pt idx="201">
                  <c:v>1.1363725067454339E-5</c:v>
                </c:pt>
                <c:pt idx="202">
                  <c:v>1.1840819361928073E-5</c:v>
                </c:pt>
                <c:pt idx="203">
                  <c:v>1.2210007222613478E-5</c:v>
                </c:pt>
                <c:pt idx="204">
                  <c:v>1.2469677993277167E-5</c:v>
                </c:pt>
                <c:pt idx="205">
                  <c:v>1.2729092622929677E-5</c:v>
                </c:pt>
                <c:pt idx="206">
                  <c:v>1.265053628565771E-5</c:v>
                </c:pt>
                <c:pt idx="207">
                  <c:v>1.2578051438803806E-5</c:v>
                </c:pt>
                <c:pt idx="208">
                  <c:v>1.2279963355423668E-5</c:v>
                </c:pt>
                <c:pt idx="209">
                  <c:v>1.1776997180603516E-5</c:v>
                </c:pt>
                <c:pt idx="210">
                  <c:v>1.1305938155358602E-5</c:v>
                </c:pt>
                <c:pt idx="211">
                  <c:v>9.8442775689905337E-6</c:v>
                </c:pt>
                <c:pt idx="212">
                  <c:v>8.5480233912148956E-6</c:v>
                </c:pt>
                <c:pt idx="213">
                  <c:v>6.9644089851338825E-6</c:v>
                </c:pt>
                <c:pt idx="214">
                  <c:v>5.2180154190423211E-6</c:v>
                </c:pt>
                <c:pt idx="215">
                  <c:v>3.735111617584469E-6</c:v>
                </c:pt>
                <c:pt idx="216">
                  <c:v>2.1649253238442689E-6</c:v>
                </c:pt>
                <c:pt idx="217">
                  <c:v>8.4929707052858183E-7</c:v>
                </c:pt>
                <c:pt idx="218">
                  <c:v>1.1617166158217618E-7</c:v>
                </c:pt>
                <c:pt idx="219">
                  <c:v>-1.6970829842463675E-7</c:v>
                </c:pt>
                <c:pt idx="220">
                  <c:v>-4.2479190508551423E-7</c:v>
                </c:pt>
                <c:pt idx="221">
                  <c:v>-4.2169183539844668E-7</c:v>
                </c:pt>
                <c:pt idx="222">
                  <c:v>-4.1108682678238362E-7</c:v>
                </c:pt>
                <c:pt idx="223">
                  <c:v>-3.9188667973026614E-7</c:v>
                </c:pt>
                <c:pt idx="224">
                  <c:v>-3.6454681602571259E-7</c:v>
                </c:pt>
                <c:pt idx="225">
                  <c:v>-3.3085503922496151E-7</c:v>
                </c:pt>
                <c:pt idx="226">
                  <c:v>-2.646339228931649E-7</c:v>
                </c:pt>
                <c:pt idx="227">
                  <c:v>-1.9401170595415018E-7</c:v>
                </c:pt>
                <c:pt idx="228">
                  <c:v>-1.3366533738526365E-7</c:v>
                </c:pt>
                <c:pt idx="229">
                  <c:v>-8.2649390061029226E-8</c:v>
                </c:pt>
                <c:pt idx="230">
                  <c:v>-2.6339053361967846E-8</c:v>
                </c:pt>
                <c:pt idx="231">
                  <c:v>-3.1904694042933501E-8</c:v>
                </c:pt>
                <c:pt idx="232">
                  <c:v>-2.8552692300787275E-8</c:v>
                </c:pt>
                <c:pt idx="233">
                  <c:v>4.7388726970298833E-10</c:v>
                </c:pt>
                <c:pt idx="234">
                  <c:v>5.3099337265702373E-8</c:v>
                </c:pt>
                <c:pt idx="235">
                  <c:v>1.1124072970755683E-7</c:v>
                </c:pt>
                <c:pt idx="236">
                  <c:v>9.9536598066260473E-8</c:v>
                </c:pt>
                <c:pt idx="237">
                  <c:v>9.7808993949205503E-8</c:v>
                </c:pt>
                <c:pt idx="238">
                  <c:v>3.3043613322999987E-8</c:v>
                </c:pt>
                <c:pt idx="239">
                  <c:v>-8.523708546447073E-8</c:v>
                </c:pt>
                <c:pt idx="240">
                  <c:v>-1.8285797424508199E-7</c:v>
                </c:pt>
                <c:pt idx="241">
                  <c:v>-1.9581285002831517E-7</c:v>
                </c:pt>
                <c:pt idx="242">
                  <c:v>-1.9750033803701827E-7</c:v>
                </c:pt>
                <c:pt idx="243">
                  <c:v>-1.8739310693460798E-7</c:v>
                </c:pt>
                <c:pt idx="244">
                  <c:v>-1.6633022306353218E-7</c:v>
                </c:pt>
                <c:pt idx="245">
                  <c:v>-1.3624755638118324E-7</c:v>
                </c:pt>
                <c:pt idx="246">
                  <c:v>-9.5318419067458304E-8</c:v>
                </c:pt>
                <c:pt idx="247">
                  <c:v>-4.6651995400451285E-8</c:v>
                </c:pt>
                <c:pt idx="248">
                  <c:v>7.7384926418233579E-9</c:v>
                </c:pt>
                <c:pt idx="249">
                  <c:v>6.7582947684344252E-8</c:v>
                </c:pt>
                <c:pt idx="250">
                  <c:v>1.3404811594758259E-7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46-40AE-8272-B29DFFD929DA}"/>
            </c:ext>
          </c:extLst>
        </c:ser>
        <c:ser>
          <c:idx val="4"/>
          <c:order val="4"/>
          <c:tx>
            <c:strRef>
              <c:f>AEROSOLCorrection!$F$12</c:f>
              <c:strCache>
                <c:ptCount val="1"/>
                <c:pt idx="0">
                  <c:v>RhowSIMex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AEROSOLCorrection!$F$13:$F$263</c:f>
              <c:numCache>
                <c:formatCode>0.00000</c:formatCode>
                <c:ptCount val="251"/>
                <c:pt idx="0">
                  <c:v>6.4583342350586437E-2</c:v>
                </c:pt>
                <c:pt idx="1">
                  <c:v>6.3513005631693514E-2</c:v>
                </c:pt>
                <c:pt idx="2">
                  <c:v>6.1931172782881183E-2</c:v>
                </c:pt>
                <c:pt idx="3">
                  <c:v>6.0401572113901569E-2</c:v>
                </c:pt>
                <c:pt idx="4">
                  <c:v>5.8841088754490858E-2</c:v>
                </c:pt>
                <c:pt idx="5">
                  <c:v>5.7294489996104737E-2</c:v>
                </c:pt>
                <c:pt idx="6">
                  <c:v>5.5763991626341894E-2</c:v>
                </c:pt>
                <c:pt idx="7">
                  <c:v>5.383803094013323E-2</c:v>
                </c:pt>
                <c:pt idx="8">
                  <c:v>5.2415478741390346E-2</c:v>
                </c:pt>
                <c:pt idx="9">
                  <c:v>5.1027759494376969E-2</c:v>
                </c:pt>
                <c:pt idx="10">
                  <c:v>4.9330890864513914E-2</c:v>
                </c:pt>
                <c:pt idx="11">
                  <c:v>4.765641129706702E-2</c:v>
                </c:pt>
                <c:pt idx="12">
                  <c:v>4.6342282952298711E-2</c:v>
                </c:pt>
                <c:pt idx="13">
                  <c:v>4.47962714663937E-2</c:v>
                </c:pt>
                <c:pt idx="14">
                  <c:v>4.3626649379350145E-2</c:v>
                </c:pt>
                <c:pt idx="15">
                  <c:v>4.226066465470503E-2</c:v>
                </c:pt>
                <c:pt idx="16">
                  <c:v>4.1117728675955673E-2</c:v>
                </c:pt>
                <c:pt idx="17">
                  <c:v>3.972324954143424E-2</c:v>
                </c:pt>
                <c:pt idx="18">
                  <c:v>3.8654534091524043E-2</c:v>
                </c:pt>
                <c:pt idx="19">
                  <c:v>3.7404027024949452E-2</c:v>
                </c:pt>
                <c:pt idx="20">
                  <c:v>3.6492184895417432E-2</c:v>
                </c:pt>
                <c:pt idx="21">
                  <c:v>3.5542577352071593E-2</c:v>
                </c:pt>
                <c:pt idx="22">
                  <c:v>3.4611294961120316E-2</c:v>
                </c:pt>
                <c:pt idx="23">
                  <c:v>3.3731210675313358E-2</c:v>
                </c:pt>
                <c:pt idx="24">
                  <c:v>3.2920094434216167E-2</c:v>
                </c:pt>
                <c:pt idx="25">
                  <c:v>3.2191922201932746E-2</c:v>
                </c:pt>
                <c:pt idx="26">
                  <c:v>3.1433771657962004E-2</c:v>
                </c:pt>
                <c:pt idx="27">
                  <c:v>3.0688606871519229E-2</c:v>
                </c:pt>
                <c:pt idx="28">
                  <c:v>2.9980495298051427E-2</c:v>
                </c:pt>
                <c:pt idx="29">
                  <c:v>2.9280461742594827E-2</c:v>
                </c:pt>
                <c:pt idx="30">
                  <c:v>2.8636519331201097E-2</c:v>
                </c:pt>
                <c:pt idx="31">
                  <c:v>2.7969301674785382E-2</c:v>
                </c:pt>
                <c:pt idx="32">
                  <c:v>2.7313968748156361E-2</c:v>
                </c:pt>
                <c:pt idx="33">
                  <c:v>2.6688133279248943E-2</c:v>
                </c:pt>
                <c:pt idx="34">
                  <c:v>2.5947237694694973E-2</c:v>
                </c:pt>
                <c:pt idx="35">
                  <c:v>2.5371550712620358E-2</c:v>
                </c:pt>
                <c:pt idx="36">
                  <c:v>2.4661227025698861E-2</c:v>
                </c:pt>
                <c:pt idx="37">
                  <c:v>2.3964884814446925E-2</c:v>
                </c:pt>
                <c:pt idx="38">
                  <c:v>2.3296062768624115E-2</c:v>
                </c:pt>
                <c:pt idx="39">
                  <c:v>2.2552314345576748E-2</c:v>
                </c:pt>
                <c:pt idx="40">
                  <c:v>2.1858766968036288E-2</c:v>
                </c:pt>
                <c:pt idx="41">
                  <c:v>2.1069433459486048E-2</c:v>
                </c:pt>
                <c:pt idx="42">
                  <c:v>2.033091647272112E-2</c:v>
                </c:pt>
                <c:pt idx="43">
                  <c:v>1.9634633200653315E-2</c:v>
                </c:pt>
                <c:pt idx="44">
                  <c:v>1.8803101727236829E-2</c:v>
                </c:pt>
                <c:pt idx="45">
                  <c:v>1.8036972382986877E-2</c:v>
                </c:pt>
                <c:pt idx="46">
                  <c:v>1.7228397798148023E-2</c:v>
                </c:pt>
                <c:pt idx="47">
                  <c:v>1.6415167969701494E-2</c:v>
                </c:pt>
                <c:pt idx="48">
                  <c:v>1.5530320330238066E-2</c:v>
                </c:pt>
                <c:pt idx="49">
                  <c:v>1.4545213905402254E-2</c:v>
                </c:pt>
                <c:pt idx="50">
                  <c:v>1.3610071777903014E-2</c:v>
                </c:pt>
                <c:pt idx="51">
                  <c:v>1.2673629915030217E-2</c:v>
                </c:pt>
                <c:pt idx="52">
                  <c:v>1.1799537981105578E-2</c:v>
                </c:pt>
                <c:pt idx="53">
                  <c:v>1.1017356064193112E-2</c:v>
                </c:pt>
                <c:pt idx="54">
                  <c:v>1.028438588264979E-2</c:v>
                </c:pt>
                <c:pt idx="55">
                  <c:v>9.6263124883151571E-3</c:v>
                </c:pt>
                <c:pt idx="56">
                  <c:v>9.0055433358221561E-3</c:v>
                </c:pt>
                <c:pt idx="57">
                  <c:v>8.4675872793478768E-3</c:v>
                </c:pt>
                <c:pt idx="58">
                  <c:v>7.9977338272033717E-3</c:v>
                </c:pt>
                <c:pt idx="59">
                  <c:v>7.5670114542290418E-3</c:v>
                </c:pt>
                <c:pt idx="60">
                  <c:v>7.3872280536288124E-3</c:v>
                </c:pt>
                <c:pt idx="61">
                  <c:v>7.1785979828919433E-3</c:v>
                </c:pt>
                <c:pt idx="62">
                  <c:v>7.2042678520493793E-3</c:v>
                </c:pt>
                <c:pt idx="63">
                  <c:v>6.8280899595567421E-3</c:v>
                </c:pt>
                <c:pt idx="64">
                  <c:v>6.8034402678090501E-3</c:v>
                </c:pt>
                <c:pt idx="65">
                  <c:v>6.6284949525778659E-3</c:v>
                </c:pt>
                <c:pt idx="66">
                  <c:v>6.319778709968929E-3</c:v>
                </c:pt>
                <c:pt idx="67">
                  <c:v>6.0962417678923665E-3</c:v>
                </c:pt>
                <c:pt idx="68">
                  <c:v>5.8474045813479668E-3</c:v>
                </c:pt>
                <c:pt idx="69">
                  <c:v>5.6583615992618665E-3</c:v>
                </c:pt>
                <c:pt idx="70">
                  <c:v>5.4242054495162971E-3</c:v>
                </c:pt>
                <c:pt idx="71">
                  <c:v>5.2743998412412146E-3</c:v>
                </c:pt>
                <c:pt idx="72">
                  <c:v>4.9789422478630461E-3</c:v>
                </c:pt>
                <c:pt idx="73">
                  <c:v>4.7681381885635067E-3</c:v>
                </c:pt>
                <c:pt idx="74">
                  <c:v>4.5468313686220715E-3</c:v>
                </c:pt>
                <c:pt idx="75">
                  <c:v>4.3123036206392344E-3</c:v>
                </c:pt>
                <c:pt idx="76">
                  <c:v>4.1030917087062878E-3</c:v>
                </c:pt>
                <c:pt idx="77">
                  <c:v>3.9275531899595935E-3</c:v>
                </c:pt>
                <c:pt idx="78">
                  <c:v>3.7917550043505589E-3</c:v>
                </c:pt>
                <c:pt idx="79">
                  <c:v>3.6790085099274727E-3</c:v>
                </c:pt>
                <c:pt idx="80">
                  <c:v>3.5603401594652244E-3</c:v>
                </c:pt>
                <c:pt idx="81">
                  <c:v>3.4471669599721415E-3</c:v>
                </c:pt>
                <c:pt idx="82">
                  <c:v>3.3437429171877149E-3</c:v>
                </c:pt>
                <c:pt idx="83">
                  <c:v>3.218070407580341E-3</c:v>
                </c:pt>
                <c:pt idx="84">
                  <c:v>3.1117427411912688E-3</c:v>
                </c:pt>
                <c:pt idx="85">
                  <c:v>2.9754082176642119E-3</c:v>
                </c:pt>
                <c:pt idx="86">
                  <c:v>2.8373903386028528E-3</c:v>
                </c:pt>
                <c:pt idx="87">
                  <c:v>2.6962367795713219E-3</c:v>
                </c:pt>
                <c:pt idx="88">
                  <c:v>2.5453972399643622E-3</c:v>
                </c:pt>
                <c:pt idx="89">
                  <c:v>2.4105890719499437E-3</c:v>
                </c:pt>
                <c:pt idx="90">
                  <c:v>2.2443189169047591E-3</c:v>
                </c:pt>
                <c:pt idx="91">
                  <c:v>2.1132796635530207E-3</c:v>
                </c:pt>
                <c:pt idx="92">
                  <c:v>1.9377860643156955E-3</c:v>
                </c:pt>
                <c:pt idx="93">
                  <c:v>1.7848364780792686E-3</c:v>
                </c:pt>
                <c:pt idx="94">
                  <c:v>1.6334405810795281E-3</c:v>
                </c:pt>
                <c:pt idx="95">
                  <c:v>1.4933971744043699E-3</c:v>
                </c:pt>
                <c:pt idx="96">
                  <c:v>1.3732093542150429E-3</c:v>
                </c:pt>
                <c:pt idx="97">
                  <c:v>1.2649989529941175E-3</c:v>
                </c:pt>
                <c:pt idx="98">
                  <c:v>1.1537527914898364E-3</c:v>
                </c:pt>
                <c:pt idx="99">
                  <c:v>1.0434823139097715E-3</c:v>
                </c:pt>
                <c:pt idx="100">
                  <c:v>8.639796538224033E-4</c:v>
                </c:pt>
                <c:pt idx="101">
                  <c:v>8.0351599964028145E-4</c:v>
                </c:pt>
                <c:pt idx="102">
                  <c:v>7.6830143498577558E-4</c:v>
                </c:pt>
                <c:pt idx="103">
                  <c:v>7.1936159373987146E-4</c:v>
                </c:pt>
                <c:pt idx="104">
                  <c:v>6.9402776995619239E-4</c:v>
                </c:pt>
                <c:pt idx="105">
                  <c:v>6.7698493720359798E-4</c:v>
                </c:pt>
                <c:pt idx="106">
                  <c:v>6.639216083565401E-4</c:v>
                </c:pt>
                <c:pt idx="107">
                  <c:v>6.5097072241825094E-4</c:v>
                </c:pt>
                <c:pt idx="108">
                  <c:v>6.3859365837378237E-4</c:v>
                </c:pt>
                <c:pt idx="109">
                  <c:v>6.272114380473752E-4</c:v>
                </c:pt>
                <c:pt idx="110">
                  <c:v>6.1523044191252527E-4</c:v>
                </c:pt>
                <c:pt idx="111">
                  <c:v>6.0271624540178537E-4</c:v>
                </c:pt>
                <c:pt idx="112">
                  <c:v>5.9055612067928157E-4</c:v>
                </c:pt>
                <c:pt idx="113">
                  <c:v>5.7953424678709384E-4</c:v>
                </c:pt>
                <c:pt idx="114">
                  <c:v>5.6802083093443825E-4</c:v>
                </c:pt>
                <c:pt idx="115">
                  <c:v>5.5607147761142436E-4</c:v>
                </c:pt>
                <c:pt idx="116">
                  <c:v>5.4447490572927595E-4</c:v>
                </c:pt>
                <c:pt idx="117">
                  <c:v>5.3498419269863706E-4</c:v>
                </c:pt>
                <c:pt idx="118">
                  <c:v>5.2503175556297202E-4</c:v>
                </c:pt>
                <c:pt idx="119">
                  <c:v>5.1349823711620626E-4</c:v>
                </c:pt>
                <c:pt idx="120">
                  <c:v>5.0280788145605146E-4</c:v>
                </c:pt>
                <c:pt idx="121">
                  <c:v>4.927424662445265E-4</c:v>
                </c:pt>
                <c:pt idx="122">
                  <c:v>4.8235398743520785E-4</c:v>
                </c:pt>
                <c:pt idx="123">
                  <c:v>4.7154749868025606E-4</c:v>
                </c:pt>
                <c:pt idx="124">
                  <c:v>4.6137218811024075E-4</c:v>
                </c:pt>
                <c:pt idx="125">
                  <c:v>4.498810884939336E-4</c:v>
                </c:pt>
                <c:pt idx="126">
                  <c:v>4.3946054500006507E-4</c:v>
                </c:pt>
                <c:pt idx="127">
                  <c:v>4.2763591562671593E-4</c:v>
                </c:pt>
                <c:pt idx="128">
                  <c:v>4.1344151180262856E-4</c:v>
                </c:pt>
                <c:pt idx="129">
                  <c:v>3.9525135767181502E-4</c:v>
                </c:pt>
                <c:pt idx="130">
                  <c:v>3.7565655142427282E-4</c:v>
                </c:pt>
                <c:pt idx="131">
                  <c:v>3.5900375207210608E-4</c:v>
                </c:pt>
                <c:pt idx="132">
                  <c:v>3.4797420093740303E-4</c:v>
                </c:pt>
                <c:pt idx="133">
                  <c:v>3.4035415185543899E-4</c:v>
                </c:pt>
                <c:pt idx="134">
                  <c:v>3.3516692182199506E-4</c:v>
                </c:pt>
                <c:pt idx="135">
                  <c:v>3.3025261120747315E-4</c:v>
                </c:pt>
                <c:pt idx="136">
                  <c:v>3.2513675690894195E-4</c:v>
                </c:pt>
                <c:pt idx="137">
                  <c:v>3.2052129182908937E-4</c:v>
                </c:pt>
                <c:pt idx="138">
                  <c:v>3.1399380762592646E-4</c:v>
                </c:pt>
                <c:pt idx="139">
                  <c:v>3.0788799431086603E-4</c:v>
                </c:pt>
                <c:pt idx="140">
                  <c:v>3.0189206188788176E-4</c:v>
                </c:pt>
                <c:pt idx="141">
                  <c:v>2.9506412210224958E-4</c:v>
                </c:pt>
                <c:pt idx="142">
                  <c:v>2.8756795488898285E-4</c:v>
                </c:pt>
                <c:pt idx="143">
                  <c:v>2.7974375497738166E-4</c:v>
                </c:pt>
                <c:pt idx="144">
                  <c:v>2.7142525034786272E-4</c:v>
                </c:pt>
                <c:pt idx="145">
                  <c:v>2.6276758461396543E-4</c:v>
                </c:pt>
                <c:pt idx="146">
                  <c:v>2.5303504980832628E-4</c:v>
                </c:pt>
                <c:pt idx="147">
                  <c:v>2.4267710540200674E-4</c:v>
                </c:pt>
                <c:pt idx="148">
                  <c:v>2.3278493820419466E-4</c:v>
                </c:pt>
                <c:pt idx="149">
                  <c:v>2.2138429899207918E-4</c:v>
                </c:pt>
                <c:pt idx="150">
                  <c:v>2.0995215210819693E-4</c:v>
                </c:pt>
                <c:pt idx="151">
                  <c:v>1.9880574621193581E-4</c:v>
                </c:pt>
                <c:pt idx="152">
                  <c:v>1.8760456048882296E-4</c:v>
                </c:pt>
                <c:pt idx="153">
                  <c:v>1.7701167337109969E-4</c:v>
                </c:pt>
                <c:pt idx="154">
                  <c:v>1.664702826826292E-4</c:v>
                </c:pt>
                <c:pt idx="155">
                  <c:v>1.5578558914684792E-4</c:v>
                </c:pt>
                <c:pt idx="156">
                  <c:v>1.452299384398191E-4</c:v>
                </c:pt>
                <c:pt idx="157">
                  <c:v>1.3470386587338332E-4</c:v>
                </c:pt>
                <c:pt idx="158">
                  <c:v>1.2394025746263054E-4</c:v>
                </c:pt>
                <c:pt idx="159">
                  <c:v>1.1351308350059791E-4</c:v>
                </c:pt>
                <c:pt idx="160">
                  <c:v>1.0370366932141439E-4</c:v>
                </c:pt>
                <c:pt idx="161">
                  <c:v>9.4516757657068379E-5</c:v>
                </c:pt>
                <c:pt idx="162">
                  <c:v>8.638545620808652E-5</c:v>
                </c:pt>
                <c:pt idx="163">
                  <c:v>7.9282196168085212E-5</c:v>
                </c:pt>
                <c:pt idx="164">
                  <c:v>7.2611946948318573E-5</c:v>
                </c:pt>
                <c:pt idx="165">
                  <c:v>6.612259770134854E-5</c:v>
                </c:pt>
                <c:pt idx="166">
                  <c:v>5.9545207522170712E-5</c:v>
                </c:pt>
                <c:pt idx="167">
                  <c:v>5.3048741422034862E-5</c:v>
                </c:pt>
                <c:pt idx="168">
                  <c:v>4.7524216101248185E-5</c:v>
                </c:pt>
                <c:pt idx="169">
                  <c:v>4.3506194590797048E-5</c:v>
                </c:pt>
                <c:pt idx="170">
                  <c:v>4.0850765218699431E-5</c:v>
                </c:pt>
                <c:pt idx="171">
                  <c:v>3.9155023225632274E-5</c:v>
                </c:pt>
                <c:pt idx="172">
                  <c:v>3.8167465868783196E-5</c:v>
                </c:pt>
                <c:pt idx="173">
                  <c:v>3.7486392520116874E-5</c:v>
                </c:pt>
                <c:pt idx="174">
                  <c:v>3.6963016284984745E-5</c:v>
                </c:pt>
                <c:pt idx="175">
                  <c:v>3.655317517828327E-5</c:v>
                </c:pt>
                <c:pt idx="176">
                  <c:v>3.6201629194973495E-5</c:v>
                </c:pt>
                <c:pt idx="177">
                  <c:v>3.5873650260181272E-5</c:v>
                </c:pt>
                <c:pt idx="178">
                  <c:v>3.555172697325068E-5</c:v>
                </c:pt>
                <c:pt idx="179">
                  <c:v>3.5206392632457228E-5</c:v>
                </c:pt>
                <c:pt idx="180">
                  <c:v>3.487132874789925E-5</c:v>
                </c:pt>
                <c:pt idx="181">
                  <c:v>3.4614771558472146E-5</c:v>
                </c:pt>
                <c:pt idx="182">
                  <c:v>3.4378972694277393E-5</c:v>
                </c:pt>
                <c:pt idx="183">
                  <c:v>3.4207911919350437E-5</c:v>
                </c:pt>
                <c:pt idx="184">
                  <c:v>3.4100900952196977E-5</c:v>
                </c:pt>
                <c:pt idx="185">
                  <c:v>3.3967661304704772E-5</c:v>
                </c:pt>
                <c:pt idx="186">
                  <c:v>3.382674244199052E-5</c:v>
                </c:pt>
                <c:pt idx="187">
                  <c:v>3.3832371187113297E-5</c:v>
                </c:pt>
                <c:pt idx="188">
                  <c:v>3.3879571512129836E-5</c:v>
                </c:pt>
                <c:pt idx="189">
                  <c:v>3.3921427338212684E-5</c:v>
                </c:pt>
                <c:pt idx="190">
                  <c:v>3.4100795687021929E-5</c:v>
                </c:pt>
                <c:pt idx="191">
                  <c:v>3.4224562412785847E-5</c:v>
                </c:pt>
                <c:pt idx="192">
                  <c:v>3.4369309201177922E-5</c:v>
                </c:pt>
                <c:pt idx="193">
                  <c:v>3.4640677272410741E-5</c:v>
                </c:pt>
                <c:pt idx="194">
                  <c:v>3.4932107097172815E-5</c:v>
                </c:pt>
                <c:pt idx="195">
                  <c:v>3.5297013499389213E-5</c:v>
                </c:pt>
                <c:pt idx="196">
                  <c:v>3.5723502249299099E-5</c:v>
                </c:pt>
                <c:pt idx="197">
                  <c:v>3.6100836855280233E-5</c:v>
                </c:pt>
                <c:pt idx="198">
                  <c:v>3.6405943497207216E-5</c:v>
                </c:pt>
                <c:pt idx="199">
                  <c:v>3.6831258950525275E-5</c:v>
                </c:pt>
                <c:pt idx="200">
                  <c:v>3.7258251697605549E-5</c:v>
                </c:pt>
                <c:pt idx="201">
                  <c:v>3.8126871540072188E-5</c:v>
                </c:pt>
                <c:pt idx="202">
                  <c:v>3.8220006985112409E-5</c:v>
                </c:pt>
                <c:pt idx="203">
                  <c:v>3.820757434556607E-5</c:v>
                </c:pt>
                <c:pt idx="204">
                  <c:v>3.8087944044317562E-5</c:v>
                </c:pt>
                <c:pt idx="205">
                  <c:v>3.7970358305532831E-5</c:v>
                </c:pt>
                <c:pt idx="206">
                  <c:v>3.7517083771972798E-5</c:v>
                </c:pt>
                <c:pt idx="207">
                  <c:v>3.7072144560758302E-5</c:v>
                </c:pt>
                <c:pt idx="208">
                  <c:v>3.6403847793360644E-5</c:v>
                </c:pt>
                <c:pt idx="209">
                  <c:v>3.5532900649594412E-5</c:v>
                </c:pt>
                <c:pt idx="210">
                  <c:v>3.4696070589139427E-5</c:v>
                </c:pt>
                <c:pt idx="211">
                  <c:v>3.2870831301604758E-5</c:v>
                </c:pt>
                <c:pt idx="212">
                  <c:v>3.1213173336371719E-5</c:v>
                </c:pt>
                <c:pt idx="213">
                  <c:v>2.9270312813344315E-5</c:v>
                </c:pt>
                <c:pt idx="214">
                  <c:v>2.7166813732526149E-5</c:v>
                </c:pt>
                <c:pt idx="215">
                  <c:v>2.5328928123015751E-5</c:v>
                </c:pt>
                <c:pt idx="216">
                  <c:v>2.3405867002968331E-5</c:v>
                </c:pt>
                <c:pt idx="217">
                  <c:v>2.1739454348645298E-5</c:v>
                </c:pt>
                <c:pt idx="218">
                  <c:v>2.0657618573952791E-5</c:v>
                </c:pt>
                <c:pt idx="219">
                  <c:v>2.002508605779621E-5</c:v>
                </c:pt>
                <c:pt idx="220">
                  <c:v>1.9425391641259351E-5</c:v>
                </c:pt>
                <c:pt idx="221">
                  <c:v>1.9085906744377781E-5</c:v>
                </c:pt>
                <c:pt idx="222">
                  <c:v>1.8755936885148095E-5</c:v>
                </c:pt>
                <c:pt idx="223">
                  <c:v>1.843655667497536E-5</c:v>
                </c:pt>
                <c:pt idx="224">
                  <c:v>1.8127295258527423E-5</c:v>
                </c:pt>
                <c:pt idx="225">
                  <c:v>1.782634955135344E-5</c:v>
                </c:pt>
                <c:pt idx="226">
                  <c:v>1.7559881849857351E-5</c:v>
                </c:pt>
                <c:pt idx="227">
                  <c:v>1.7299748934078082E-5</c:v>
                </c:pt>
                <c:pt idx="228">
                  <c:v>1.7031259021218353E-5</c:v>
                </c:pt>
                <c:pt idx="229">
                  <c:v>1.6755342850002103E-5</c:v>
                </c:pt>
                <c:pt idx="230">
                  <c:v>1.6486610686360439E-5</c:v>
                </c:pt>
                <c:pt idx="231">
                  <c:v>1.6157877760812969E-5</c:v>
                </c:pt>
                <c:pt idx="232">
                  <c:v>1.5839923430705297E-5</c:v>
                </c:pt>
                <c:pt idx="233">
                  <c:v>1.5549490507601668E-5</c:v>
                </c:pt>
                <c:pt idx="234">
                  <c:v>1.52844892971956E-5</c:v>
                </c:pt>
                <c:pt idx="235">
                  <c:v>1.5026823019931301E-5</c:v>
                </c:pt>
                <c:pt idx="236">
                  <c:v>1.4701116491436933E-5</c:v>
                </c:pt>
                <c:pt idx="237">
                  <c:v>1.4387178177602267E-5</c:v>
                </c:pt>
                <c:pt idx="238">
                  <c:v>1.4011980319271478E-5</c:v>
                </c:pt>
                <c:pt idx="239">
                  <c:v>1.3585032048714363E-5</c:v>
                </c:pt>
                <c:pt idx="240">
                  <c:v>1.318049529555089E-5</c:v>
                </c:pt>
                <c:pt idx="241">
                  <c:v>1.2862363190259754E-5</c:v>
                </c:pt>
                <c:pt idx="242">
                  <c:v>1.2557224159671573E-5</c:v>
                </c:pt>
                <c:pt idx="243">
                  <c:v>1.2265592710287987E-5</c:v>
                </c:pt>
                <c:pt idx="244">
                  <c:v>1.1986617072613781E-5</c:v>
                </c:pt>
                <c:pt idx="245">
                  <c:v>1.1718348793788094E-5</c:v>
                </c:pt>
                <c:pt idx="246">
                  <c:v>1.1462602097623772E-5</c:v>
                </c:pt>
                <c:pt idx="247">
                  <c:v>1.1216255453307469E-5</c:v>
                </c:pt>
                <c:pt idx="248">
                  <c:v>1.0977283408476063E-5</c:v>
                </c:pt>
                <c:pt idx="249">
                  <c:v>1.0745403750180363E-5</c:v>
                </c:pt>
                <c:pt idx="250">
                  <c:v>1.0521771222540138E-5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46-40AE-8272-B29DFFD929DA}"/>
            </c:ext>
          </c:extLst>
        </c:ser>
        <c:ser>
          <c:idx val="5"/>
          <c:order val="5"/>
          <c:tx>
            <c:strRef>
              <c:f>AEROSOLCorrection!$G$12</c:f>
              <c:strCache>
                <c:ptCount val="1"/>
                <c:pt idx="0">
                  <c:v>RhowOUT(SIM)</c:v>
                </c:pt>
              </c:strCache>
            </c:strRef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AEROSOLCorrection!$A$13:$A$263</c:f>
              <c:numCache>
                <c:formatCode>General</c:formatCode>
                <c:ptCount val="251"/>
                <c:pt idx="0">
                  <c:v>400</c:v>
                </c:pt>
                <c:pt idx="1">
                  <c:v>402</c:v>
                </c:pt>
                <c:pt idx="2">
                  <c:v>404</c:v>
                </c:pt>
                <c:pt idx="3">
                  <c:v>406</c:v>
                </c:pt>
                <c:pt idx="4">
                  <c:v>408</c:v>
                </c:pt>
                <c:pt idx="5">
                  <c:v>410</c:v>
                </c:pt>
                <c:pt idx="6">
                  <c:v>412</c:v>
                </c:pt>
                <c:pt idx="7">
                  <c:v>414</c:v>
                </c:pt>
                <c:pt idx="8">
                  <c:v>416</c:v>
                </c:pt>
                <c:pt idx="9">
                  <c:v>418</c:v>
                </c:pt>
                <c:pt idx="10">
                  <c:v>420</c:v>
                </c:pt>
                <c:pt idx="11">
                  <c:v>422</c:v>
                </c:pt>
                <c:pt idx="12">
                  <c:v>424</c:v>
                </c:pt>
                <c:pt idx="13">
                  <c:v>426</c:v>
                </c:pt>
                <c:pt idx="14">
                  <c:v>428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436</c:v>
                </c:pt>
                <c:pt idx="19">
                  <c:v>438</c:v>
                </c:pt>
                <c:pt idx="20">
                  <c:v>440</c:v>
                </c:pt>
                <c:pt idx="21">
                  <c:v>442</c:v>
                </c:pt>
                <c:pt idx="22">
                  <c:v>444</c:v>
                </c:pt>
                <c:pt idx="23">
                  <c:v>446</c:v>
                </c:pt>
                <c:pt idx="24">
                  <c:v>448</c:v>
                </c:pt>
                <c:pt idx="25">
                  <c:v>450</c:v>
                </c:pt>
                <c:pt idx="26">
                  <c:v>452</c:v>
                </c:pt>
                <c:pt idx="27">
                  <c:v>454</c:v>
                </c:pt>
                <c:pt idx="28">
                  <c:v>456</c:v>
                </c:pt>
                <c:pt idx="29">
                  <c:v>458</c:v>
                </c:pt>
                <c:pt idx="30">
                  <c:v>460</c:v>
                </c:pt>
                <c:pt idx="31">
                  <c:v>462</c:v>
                </c:pt>
                <c:pt idx="32">
                  <c:v>464</c:v>
                </c:pt>
                <c:pt idx="33">
                  <c:v>466</c:v>
                </c:pt>
                <c:pt idx="34">
                  <c:v>468</c:v>
                </c:pt>
                <c:pt idx="35">
                  <c:v>470</c:v>
                </c:pt>
                <c:pt idx="36">
                  <c:v>472</c:v>
                </c:pt>
                <c:pt idx="37">
                  <c:v>474</c:v>
                </c:pt>
                <c:pt idx="38">
                  <c:v>476</c:v>
                </c:pt>
                <c:pt idx="39">
                  <c:v>478</c:v>
                </c:pt>
                <c:pt idx="40">
                  <c:v>480</c:v>
                </c:pt>
                <c:pt idx="41">
                  <c:v>482</c:v>
                </c:pt>
                <c:pt idx="42">
                  <c:v>484</c:v>
                </c:pt>
                <c:pt idx="43">
                  <c:v>486</c:v>
                </c:pt>
                <c:pt idx="44">
                  <c:v>488</c:v>
                </c:pt>
                <c:pt idx="45">
                  <c:v>490</c:v>
                </c:pt>
                <c:pt idx="46">
                  <c:v>492</c:v>
                </c:pt>
                <c:pt idx="47">
                  <c:v>494</c:v>
                </c:pt>
                <c:pt idx="48">
                  <c:v>496</c:v>
                </c:pt>
                <c:pt idx="49">
                  <c:v>498</c:v>
                </c:pt>
                <c:pt idx="50">
                  <c:v>500</c:v>
                </c:pt>
                <c:pt idx="51">
                  <c:v>502</c:v>
                </c:pt>
                <c:pt idx="52">
                  <c:v>504</c:v>
                </c:pt>
                <c:pt idx="53">
                  <c:v>506</c:v>
                </c:pt>
                <c:pt idx="54">
                  <c:v>508</c:v>
                </c:pt>
                <c:pt idx="55">
                  <c:v>510</c:v>
                </c:pt>
                <c:pt idx="56">
                  <c:v>512</c:v>
                </c:pt>
                <c:pt idx="57">
                  <c:v>514</c:v>
                </c:pt>
                <c:pt idx="58">
                  <c:v>516</c:v>
                </c:pt>
                <c:pt idx="59">
                  <c:v>518</c:v>
                </c:pt>
                <c:pt idx="60">
                  <c:v>520</c:v>
                </c:pt>
                <c:pt idx="61">
                  <c:v>522</c:v>
                </c:pt>
                <c:pt idx="62">
                  <c:v>524</c:v>
                </c:pt>
                <c:pt idx="63">
                  <c:v>526</c:v>
                </c:pt>
                <c:pt idx="64">
                  <c:v>528</c:v>
                </c:pt>
                <c:pt idx="65">
                  <c:v>530</c:v>
                </c:pt>
                <c:pt idx="66">
                  <c:v>532</c:v>
                </c:pt>
                <c:pt idx="67">
                  <c:v>534</c:v>
                </c:pt>
                <c:pt idx="68">
                  <c:v>536</c:v>
                </c:pt>
                <c:pt idx="69">
                  <c:v>538</c:v>
                </c:pt>
                <c:pt idx="70">
                  <c:v>540</c:v>
                </c:pt>
                <c:pt idx="71">
                  <c:v>542</c:v>
                </c:pt>
                <c:pt idx="72">
                  <c:v>544</c:v>
                </c:pt>
                <c:pt idx="73">
                  <c:v>546</c:v>
                </c:pt>
                <c:pt idx="74">
                  <c:v>548</c:v>
                </c:pt>
                <c:pt idx="75">
                  <c:v>550</c:v>
                </c:pt>
                <c:pt idx="76">
                  <c:v>552</c:v>
                </c:pt>
                <c:pt idx="77">
                  <c:v>554</c:v>
                </c:pt>
                <c:pt idx="78">
                  <c:v>556</c:v>
                </c:pt>
                <c:pt idx="79">
                  <c:v>558</c:v>
                </c:pt>
                <c:pt idx="80">
                  <c:v>560</c:v>
                </c:pt>
                <c:pt idx="81">
                  <c:v>562</c:v>
                </c:pt>
                <c:pt idx="82">
                  <c:v>564</c:v>
                </c:pt>
                <c:pt idx="83">
                  <c:v>566</c:v>
                </c:pt>
                <c:pt idx="84">
                  <c:v>568</c:v>
                </c:pt>
                <c:pt idx="85">
                  <c:v>570</c:v>
                </c:pt>
                <c:pt idx="86">
                  <c:v>572</c:v>
                </c:pt>
                <c:pt idx="87">
                  <c:v>574</c:v>
                </c:pt>
                <c:pt idx="88">
                  <c:v>576</c:v>
                </c:pt>
                <c:pt idx="89">
                  <c:v>578</c:v>
                </c:pt>
                <c:pt idx="90">
                  <c:v>580</c:v>
                </c:pt>
                <c:pt idx="91">
                  <c:v>582</c:v>
                </c:pt>
                <c:pt idx="92">
                  <c:v>584</c:v>
                </c:pt>
                <c:pt idx="93">
                  <c:v>586</c:v>
                </c:pt>
                <c:pt idx="94">
                  <c:v>588</c:v>
                </c:pt>
                <c:pt idx="95">
                  <c:v>590</c:v>
                </c:pt>
                <c:pt idx="96">
                  <c:v>592</c:v>
                </c:pt>
                <c:pt idx="97">
                  <c:v>594</c:v>
                </c:pt>
                <c:pt idx="98">
                  <c:v>596</c:v>
                </c:pt>
                <c:pt idx="99">
                  <c:v>598</c:v>
                </c:pt>
                <c:pt idx="100">
                  <c:v>600</c:v>
                </c:pt>
                <c:pt idx="101">
                  <c:v>602</c:v>
                </c:pt>
                <c:pt idx="102">
                  <c:v>604</c:v>
                </c:pt>
                <c:pt idx="103">
                  <c:v>606</c:v>
                </c:pt>
                <c:pt idx="104">
                  <c:v>608</c:v>
                </c:pt>
                <c:pt idx="105">
                  <c:v>610</c:v>
                </c:pt>
                <c:pt idx="106">
                  <c:v>612</c:v>
                </c:pt>
                <c:pt idx="107">
                  <c:v>614</c:v>
                </c:pt>
                <c:pt idx="108">
                  <c:v>616</c:v>
                </c:pt>
                <c:pt idx="109">
                  <c:v>618</c:v>
                </c:pt>
                <c:pt idx="110">
                  <c:v>620</c:v>
                </c:pt>
                <c:pt idx="111">
                  <c:v>622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630</c:v>
                </c:pt>
                <c:pt idx="116">
                  <c:v>632</c:v>
                </c:pt>
                <c:pt idx="117">
                  <c:v>634</c:v>
                </c:pt>
                <c:pt idx="118">
                  <c:v>636</c:v>
                </c:pt>
                <c:pt idx="119">
                  <c:v>638</c:v>
                </c:pt>
                <c:pt idx="120">
                  <c:v>640</c:v>
                </c:pt>
                <c:pt idx="121">
                  <c:v>642</c:v>
                </c:pt>
                <c:pt idx="122">
                  <c:v>644</c:v>
                </c:pt>
                <c:pt idx="123">
                  <c:v>646</c:v>
                </c:pt>
                <c:pt idx="124">
                  <c:v>648</c:v>
                </c:pt>
                <c:pt idx="125">
                  <c:v>650</c:v>
                </c:pt>
                <c:pt idx="126">
                  <c:v>652</c:v>
                </c:pt>
                <c:pt idx="127">
                  <c:v>654</c:v>
                </c:pt>
                <c:pt idx="128">
                  <c:v>656</c:v>
                </c:pt>
                <c:pt idx="129">
                  <c:v>658</c:v>
                </c:pt>
                <c:pt idx="130">
                  <c:v>660</c:v>
                </c:pt>
                <c:pt idx="131">
                  <c:v>662</c:v>
                </c:pt>
                <c:pt idx="132">
                  <c:v>664</c:v>
                </c:pt>
                <c:pt idx="133">
                  <c:v>666</c:v>
                </c:pt>
                <c:pt idx="134">
                  <c:v>668</c:v>
                </c:pt>
                <c:pt idx="135">
                  <c:v>670</c:v>
                </c:pt>
                <c:pt idx="136">
                  <c:v>672</c:v>
                </c:pt>
                <c:pt idx="137">
                  <c:v>674</c:v>
                </c:pt>
                <c:pt idx="138">
                  <c:v>676</c:v>
                </c:pt>
                <c:pt idx="139">
                  <c:v>678</c:v>
                </c:pt>
                <c:pt idx="140">
                  <c:v>680</c:v>
                </c:pt>
                <c:pt idx="141">
                  <c:v>682</c:v>
                </c:pt>
                <c:pt idx="142">
                  <c:v>684</c:v>
                </c:pt>
                <c:pt idx="143">
                  <c:v>686</c:v>
                </c:pt>
                <c:pt idx="144">
                  <c:v>688</c:v>
                </c:pt>
                <c:pt idx="145">
                  <c:v>690</c:v>
                </c:pt>
                <c:pt idx="146">
                  <c:v>692</c:v>
                </c:pt>
                <c:pt idx="147">
                  <c:v>694</c:v>
                </c:pt>
                <c:pt idx="148">
                  <c:v>696</c:v>
                </c:pt>
                <c:pt idx="149">
                  <c:v>698</c:v>
                </c:pt>
                <c:pt idx="150">
                  <c:v>700</c:v>
                </c:pt>
                <c:pt idx="151">
                  <c:v>702</c:v>
                </c:pt>
                <c:pt idx="152">
                  <c:v>704</c:v>
                </c:pt>
                <c:pt idx="153">
                  <c:v>706</c:v>
                </c:pt>
                <c:pt idx="154">
                  <c:v>708</c:v>
                </c:pt>
                <c:pt idx="155">
                  <c:v>710</c:v>
                </c:pt>
                <c:pt idx="156">
                  <c:v>712</c:v>
                </c:pt>
                <c:pt idx="157">
                  <c:v>714</c:v>
                </c:pt>
                <c:pt idx="158">
                  <c:v>716</c:v>
                </c:pt>
                <c:pt idx="159">
                  <c:v>718</c:v>
                </c:pt>
                <c:pt idx="160">
                  <c:v>720</c:v>
                </c:pt>
                <c:pt idx="161">
                  <c:v>722</c:v>
                </c:pt>
                <c:pt idx="162">
                  <c:v>724</c:v>
                </c:pt>
                <c:pt idx="163">
                  <c:v>726</c:v>
                </c:pt>
                <c:pt idx="164">
                  <c:v>728</c:v>
                </c:pt>
                <c:pt idx="165">
                  <c:v>730</c:v>
                </c:pt>
                <c:pt idx="166">
                  <c:v>732</c:v>
                </c:pt>
                <c:pt idx="167">
                  <c:v>734</c:v>
                </c:pt>
                <c:pt idx="168">
                  <c:v>736</c:v>
                </c:pt>
                <c:pt idx="169">
                  <c:v>738</c:v>
                </c:pt>
                <c:pt idx="170">
                  <c:v>740</c:v>
                </c:pt>
                <c:pt idx="171">
                  <c:v>742</c:v>
                </c:pt>
                <c:pt idx="172">
                  <c:v>744</c:v>
                </c:pt>
                <c:pt idx="173">
                  <c:v>746</c:v>
                </c:pt>
                <c:pt idx="174">
                  <c:v>748</c:v>
                </c:pt>
                <c:pt idx="175">
                  <c:v>750</c:v>
                </c:pt>
                <c:pt idx="176">
                  <c:v>752</c:v>
                </c:pt>
                <c:pt idx="177">
                  <c:v>754</c:v>
                </c:pt>
                <c:pt idx="178">
                  <c:v>756</c:v>
                </c:pt>
                <c:pt idx="179">
                  <c:v>758</c:v>
                </c:pt>
                <c:pt idx="180">
                  <c:v>760</c:v>
                </c:pt>
                <c:pt idx="181">
                  <c:v>762</c:v>
                </c:pt>
                <c:pt idx="182">
                  <c:v>764</c:v>
                </c:pt>
                <c:pt idx="183">
                  <c:v>766</c:v>
                </c:pt>
                <c:pt idx="184">
                  <c:v>768</c:v>
                </c:pt>
                <c:pt idx="185">
                  <c:v>770</c:v>
                </c:pt>
                <c:pt idx="186">
                  <c:v>772</c:v>
                </c:pt>
                <c:pt idx="187">
                  <c:v>774</c:v>
                </c:pt>
                <c:pt idx="188">
                  <c:v>776</c:v>
                </c:pt>
                <c:pt idx="189">
                  <c:v>778</c:v>
                </c:pt>
                <c:pt idx="190">
                  <c:v>780</c:v>
                </c:pt>
                <c:pt idx="191">
                  <c:v>782</c:v>
                </c:pt>
                <c:pt idx="192">
                  <c:v>784</c:v>
                </c:pt>
                <c:pt idx="193">
                  <c:v>786</c:v>
                </c:pt>
                <c:pt idx="194">
                  <c:v>788</c:v>
                </c:pt>
                <c:pt idx="195">
                  <c:v>790</c:v>
                </c:pt>
                <c:pt idx="196">
                  <c:v>792</c:v>
                </c:pt>
                <c:pt idx="197">
                  <c:v>794</c:v>
                </c:pt>
                <c:pt idx="198">
                  <c:v>796</c:v>
                </c:pt>
                <c:pt idx="199">
                  <c:v>798</c:v>
                </c:pt>
                <c:pt idx="200">
                  <c:v>800</c:v>
                </c:pt>
                <c:pt idx="201">
                  <c:v>802</c:v>
                </c:pt>
                <c:pt idx="202">
                  <c:v>804</c:v>
                </c:pt>
                <c:pt idx="203">
                  <c:v>806</c:v>
                </c:pt>
                <c:pt idx="204">
                  <c:v>808</c:v>
                </c:pt>
                <c:pt idx="205">
                  <c:v>810</c:v>
                </c:pt>
                <c:pt idx="206">
                  <c:v>812</c:v>
                </c:pt>
                <c:pt idx="207">
                  <c:v>814</c:v>
                </c:pt>
                <c:pt idx="208">
                  <c:v>816</c:v>
                </c:pt>
                <c:pt idx="209">
                  <c:v>818</c:v>
                </c:pt>
                <c:pt idx="210">
                  <c:v>820</c:v>
                </c:pt>
                <c:pt idx="211">
                  <c:v>822</c:v>
                </c:pt>
                <c:pt idx="212">
                  <c:v>824</c:v>
                </c:pt>
                <c:pt idx="213">
                  <c:v>826</c:v>
                </c:pt>
                <c:pt idx="214">
                  <c:v>828</c:v>
                </c:pt>
                <c:pt idx="215">
                  <c:v>830</c:v>
                </c:pt>
                <c:pt idx="216">
                  <c:v>832</c:v>
                </c:pt>
                <c:pt idx="217">
                  <c:v>834</c:v>
                </c:pt>
                <c:pt idx="218">
                  <c:v>836</c:v>
                </c:pt>
                <c:pt idx="219">
                  <c:v>838</c:v>
                </c:pt>
                <c:pt idx="220">
                  <c:v>840</c:v>
                </c:pt>
                <c:pt idx="221">
                  <c:v>842</c:v>
                </c:pt>
                <c:pt idx="222">
                  <c:v>844</c:v>
                </c:pt>
                <c:pt idx="223">
                  <c:v>846</c:v>
                </c:pt>
                <c:pt idx="224">
                  <c:v>848</c:v>
                </c:pt>
                <c:pt idx="225">
                  <c:v>850</c:v>
                </c:pt>
                <c:pt idx="226">
                  <c:v>852</c:v>
                </c:pt>
                <c:pt idx="227">
                  <c:v>854</c:v>
                </c:pt>
                <c:pt idx="228">
                  <c:v>856</c:v>
                </c:pt>
                <c:pt idx="229">
                  <c:v>858</c:v>
                </c:pt>
                <c:pt idx="230">
                  <c:v>860</c:v>
                </c:pt>
                <c:pt idx="231">
                  <c:v>862</c:v>
                </c:pt>
                <c:pt idx="232">
                  <c:v>864</c:v>
                </c:pt>
                <c:pt idx="233">
                  <c:v>866</c:v>
                </c:pt>
                <c:pt idx="234">
                  <c:v>868</c:v>
                </c:pt>
                <c:pt idx="235">
                  <c:v>870</c:v>
                </c:pt>
                <c:pt idx="236">
                  <c:v>872</c:v>
                </c:pt>
                <c:pt idx="237">
                  <c:v>874</c:v>
                </c:pt>
                <c:pt idx="238">
                  <c:v>876</c:v>
                </c:pt>
                <c:pt idx="239">
                  <c:v>878</c:v>
                </c:pt>
                <c:pt idx="240">
                  <c:v>880</c:v>
                </c:pt>
                <c:pt idx="241">
                  <c:v>882</c:v>
                </c:pt>
                <c:pt idx="242">
                  <c:v>884</c:v>
                </c:pt>
                <c:pt idx="243">
                  <c:v>886</c:v>
                </c:pt>
                <c:pt idx="244">
                  <c:v>888</c:v>
                </c:pt>
                <c:pt idx="245">
                  <c:v>890</c:v>
                </c:pt>
                <c:pt idx="246">
                  <c:v>892</c:v>
                </c:pt>
                <c:pt idx="247">
                  <c:v>894</c:v>
                </c:pt>
                <c:pt idx="248">
                  <c:v>896</c:v>
                </c:pt>
                <c:pt idx="249">
                  <c:v>898</c:v>
                </c:pt>
                <c:pt idx="250">
                  <c:v>900</c:v>
                </c:pt>
              </c:numCache>
            </c:numRef>
          </c:xVal>
          <c:yVal>
            <c:numRef>
              <c:f>AEROSOLCorrection!$G$13:$G$263</c:f>
              <c:numCache>
                <c:formatCode>0.00000</c:formatCode>
                <c:ptCount val="251"/>
                <c:pt idx="0">
                  <c:v>6.4604743971492781E-2</c:v>
                </c:pt>
                <c:pt idx="1">
                  <c:v>6.353432460230897E-2</c:v>
                </c:pt>
                <c:pt idx="2">
                  <c:v>6.1952409830197182E-2</c:v>
                </c:pt>
                <c:pt idx="3">
                  <c:v>6.0422727954963236E-2</c:v>
                </c:pt>
                <c:pt idx="4">
                  <c:v>5.8862164096581182E-2</c:v>
                </c:pt>
                <c:pt idx="5">
                  <c:v>5.7315485536924497E-2</c:v>
                </c:pt>
                <c:pt idx="6">
                  <c:v>5.5784908054185366E-2</c:v>
                </c:pt>
                <c:pt idx="7">
                  <c:v>5.3858868934059896E-2</c:v>
                </c:pt>
                <c:pt idx="8">
                  <c:v>5.2436238971392574E-2</c:v>
                </c:pt>
                <c:pt idx="9">
                  <c:v>5.1048442621543934E-2</c:v>
                </c:pt>
                <c:pt idx="10">
                  <c:v>4.9351497541191773E-2</c:v>
                </c:pt>
                <c:pt idx="11">
                  <c:v>4.7676942167015443E-2</c:v>
                </c:pt>
                <c:pt idx="12">
                  <c:v>4.6362738650843872E-2</c:v>
                </c:pt>
                <c:pt idx="13">
                  <c:v>4.4816652620577893E-2</c:v>
                </c:pt>
                <c:pt idx="14">
                  <c:v>4.3646956608077978E-2</c:v>
                </c:pt>
                <c:pt idx="15">
                  <c:v>4.2280898568886435E-2</c:v>
                </c:pt>
                <c:pt idx="16">
                  <c:v>4.1137889878645736E-2</c:v>
                </c:pt>
                <c:pt idx="17">
                  <c:v>3.9743338627969929E-2</c:v>
                </c:pt>
                <c:pt idx="18">
                  <c:v>3.8674551649657982E-2</c:v>
                </c:pt>
                <c:pt idx="19">
                  <c:v>3.742397363498072E-2</c:v>
                </c:pt>
                <c:pt idx="20">
                  <c:v>3.6512061130319587E-2</c:v>
                </c:pt>
                <c:pt idx="21">
                  <c:v>3.5562383777617834E-2</c:v>
                </c:pt>
                <c:pt idx="22">
                  <c:v>3.4631032136006087E-2</c:v>
                </c:pt>
                <c:pt idx="23">
                  <c:v>3.3750879151276184E-2</c:v>
                </c:pt>
                <c:pt idx="24">
                  <c:v>3.2939694756153035E-2</c:v>
                </c:pt>
                <c:pt idx="25">
                  <c:v>3.2211454908014935E-2</c:v>
                </c:pt>
                <c:pt idx="26">
                  <c:v>3.1453237279747526E-2</c:v>
                </c:pt>
                <c:pt idx="27">
                  <c:v>3.0708005934062869E-2</c:v>
                </c:pt>
                <c:pt idx="28">
                  <c:v>2.9999828320012502E-2</c:v>
                </c:pt>
                <c:pt idx="29">
                  <c:v>2.9299729236342682E-2</c:v>
                </c:pt>
                <c:pt idx="30">
                  <c:v>2.8655721802918421E-2</c:v>
                </c:pt>
                <c:pt idx="31">
                  <c:v>2.7988439624569376E-2</c:v>
                </c:pt>
                <c:pt idx="32">
                  <c:v>2.7333042670117831E-2</c:v>
                </c:pt>
                <c:pt idx="33">
                  <c:v>2.6707143661609357E-2</c:v>
                </c:pt>
                <c:pt idx="34">
                  <c:v>2.5966185019881537E-2</c:v>
                </c:pt>
                <c:pt idx="35">
                  <c:v>2.5390435457359153E-2</c:v>
                </c:pt>
                <c:pt idx="36">
                  <c:v>2.4680049661106103E-2</c:v>
                </c:pt>
                <c:pt idx="37">
                  <c:v>2.3983645806118385E-2</c:v>
                </c:pt>
                <c:pt idx="38">
                  <c:v>2.3314762576722745E-2</c:v>
                </c:pt>
                <c:pt idx="39">
                  <c:v>2.2570953424918536E-2</c:v>
                </c:pt>
                <c:pt idx="40">
                  <c:v>2.1877345768174423E-2</c:v>
                </c:pt>
                <c:pt idx="41">
                  <c:v>2.1087952424793423E-2</c:v>
                </c:pt>
                <c:pt idx="42">
                  <c:v>2.0349376042471189E-2</c:v>
                </c:pt>
                <c:pt idx="43">
                  <c:v>1.9653033809099361E-2</c:v>
                </c:pt>
                <c:pt idx="44">
                  <c:v>1.8821443803689691E-2</c:v>
                </c:pt>
                <c:pt idx="45">
                  <c:v>1.8055256351891154E-2</c:v>
                </c:pt>
                <c:pt idx="46">
                  <c:v>1.7246624079156798E-2</c:v>
                </c:pt>
                <c:pt idx="47">
                  <c:v>1.643333697774961E-2</c:v>
                </c:pt>
                <c:pt idx="48">
                  <c:v>1.5548432475614004E-2</c:v>
                </c:pt>
                <c:pt idx="49">
                  <c:v>1.4563269593818609E-2</c:v>
                </c:pt>
                <c:pt idx="50">
                  <c:v>1.3628071410565646E-2</c:v>
                </c:pt>
                <c:pt idx="51">
                  <c:v>1.2691573888706075E-2</c:v>
                </c:pt>
                <c:pt idx="52">
                  <c:v>1.1817426688189234E-2</c:v>
                </c:pt>
                <c:pt idx="53">
                  <c:v>1.1035189892772055E-2</c:v>
                </c:pt>
                <c:pt idx="54">
                  <c:v>1.0302165216568467E-2</c:v>
                </c:pt>
                <c:pt idx="55">
                  <c:v>9.6440377072378354E-3</c:v>
                </c:pt>
                <c:pt idx="56">
                  <c:v>9.0232148152946043E-3</c:v>
                </c:pt>
                <c:pt idx="57">
                  <c:v>8.4852053908578973E-3</c:v>
                </c:pt>
                <c:pt idx="58">
                  <c:v>8.0152989382402187E-3</c:v>
                </c:pt>
                <c:pt idx="59">
                  <c:v>7.5845239283417361E-3</c:v>
                </c:pt>
                <c:pt idx="60">
                  <c:v>7.4046882504833836E-3</c:v>
                </c:pt>
                <c:pt idx="61">
                  <c:v>7.1960062583276384E-3</c:v>
                </c:pt>
                <c:pt idx="62">
                  <c:v>7.2216245581338268E-3</c:v>
                </c:pt>
                <c:pt idx="63">
                  <c:v>6.8453954446401309E-3</c:v>
                </c:pt>
                <c:pt idx="64">
                  <c:v>6.8206948765773094E-3</c:v>
                </c:pt>
                <c:pt idx="65">
                  <c:v>6.6456990261049009E-3</c:v>
                </c:pt>
                <c:pt idx="66">
                  <c:v>6.3369325857679203E-3</c:v>
                </c:pt>
                <c:pt idx="67">
                  <c:v>6.1133457799661395E-3</c:v>
                </c:pt>
                <c:pt idx="68">
                  <c:v>5.8644590602384729E-3</c:v>
                </c:pt>
                <c:pt idx="69">
                  <c:v>5.6753668720987797E-3</c:v>
                </c:pt>
                <c:pt idx="70">
                  <c:v>5.4411618400647503E-3</c:v>
                </c:pt>
                <c:pt idx="71">
                  <c:v>5.2913076699487027E-3</c:v>
                </c:pt>
                <c:pt idx="72">
                  <c:v>4.99580183190549E-3</c:v>
                </c:pt>
                <c:pt idx="73">
                  <c:v>4.7849498418905331E-3</c:v>
                </c:pt>
                <c:pt idx="74">
                  <c:v>4.5635954020014809E-3</c:v>
                </c:pt>
                <c:pt idx="75">
                  <c:v>4.3290203417007088E-3</c:v>
                </c:pt>
                <c:pt idx="76">
                  <c:v>4.1197614219843359E-3</c:v>
                </c:pt>
                <c:pt idx="77">
                  <c:v>3.9441761969357669E-3</c:v>
                </c:pt>
                <c:pt idx="78">
                  <c:v>3.8083316034949258E-3</c:v>
                </c:pt>
                <c:pt idx="79">
                  <c:v>3.6955389967393941E-3</c:v>
                </c:pt>
                <c:pt idx="80">
                  <c:v>3.576824826513423E-3</c:v>
                </c:pt>
                <c:pt idx="81">
                  <c:v>3.4636060969341111E-3</c:v>
                </c:pt>
                <c:pt idx="82">
                  <c:v>3.3601368108884325E-3</c:v>
                </c:pt>
                <c:pt idx="83">
                  <c:v>3.2344193420303508E-3</c:v>
                </c:pt>
                <c:pt idx="84">
                  <c:v>3.1280469976241038E-3</c:v>
                </c:pt>
                <c:pt idx="85">
                  <c:v>2.9916680745732151E-3</c:v>
                </c:pt>
                <c:pt idx="86">
                  <c:v>2.853606071777353E-3</c:v>
                </c:pt>
                <c:pt idx="87">
                  <c:v>2.7124086621322339E-3</c:v>
                </c:pt>
                <c:pt idx="88">
                  <c:v>2.5615255423991762E-3</c:v>
                </c:pt>
                <c:pt idx="89">
                  <c:v>2.4266740621471418E-3</c:v>
                </c:pt>
                <c:pt idx="90">
                  <c:v>2.2603608601876775E-3</c:v>
                </c:pt>
                <c:pt idx="91">
                  <c:v>2.1292788227131425E-3</c:v>
                </c:pt>
                <c:pt idx="92">
                  <c:v>1.9537426996453985E-3</c:v>
                </c:pt>
                <c:pt idx="93">
                  <c:v>1.80075084740405E-3</c:v>
                </c:pt>
                <c:pt idx="94">
                  <c:v>1.649312939789687E-3</c:v>
                </c:pt>
                <c:pt idx="95">
                  <c:v>1.5092277754862014E-3</c:v>
                </c:pt>
                <c:pt idx="96">
                  <c:v>1.3889984482815046E-3</c:v>
                </c:pt>
                <c:pt idx="97">
                  <c:v>1.2807467883150202E-3</c:v>
                </c:pt>
                <c:pt idx="98">
                  <c:v>1.1694596140215396E-3</c:v>
                </c:pt>
                <c:pt idx="99">
                  <c:v>1.0591483673244133E-3</c:v>
                </c:pt>
                <c:pt idx="100">
                  <c:v>8.7960517953665843E-4</c:v>
                </c:pt>
                <c:pt idx="101">
                  <c:v>8.191012368436619E-4</c:v>
                </c:pt>
                <c:pt idx="102">
                  <c:v>7.8384662066849353E-4</c:v>
                </c:pt>
                <c:pt idx="103">
                  <c:v>7.3486696272024449E-4</c:v>
                </c:pt>
                <c:pt idx="104">
                  <c:v>7.0949355490764268E-4</c:v>
                </c:pt>
                <c:pt idx="105">
                  <c:v>6.9241136868120057E-4</c:v>
                </c:pt>
                <c:pt idx="106">
                  <c:v>6.7930891482319289E-4</c:v>
                </c:pt>
                <c:pt idx="107">
                  <c:v>6.6631913027039025E-4</c:v>
                </c:pt>
                <c:pt idx="108">
                  <c:v>6.5390339196674113E-4</c:v>
                </c:pt>
                <c:pt idx="109">
                  <c:v>6.4248271972033172E-4</c:v>
                </c:pt>
                <c:pt idx="110">
                  <c:v>6.3046349201306001E-4</c:v>
                </c:pt>
                <c:pt idx="111">
                  <c:v>6.1791128231008033E-4</c:v>
                </c:pt>
                <c:pt idx="112">
                  <c:v>6.0571336083193456E-4</c:v>
                </c:pt>
                <c:pt idx="113">
                  <c:v>5.9465390470057194E-4</c:v>
                </c:pt>
                <c:pt idx="114">
                  <c:v>5.8310311922817049E-4</c:v>
                </c:pt>
                <c:pt idx="115">
                  <c:v>5.7111660703056122E-4</c:v>
                </c:pt>
                <c:pt idx="116">
                  <c:v>5.5948308516707776E-4</c:v>
                </c:pt>
                <c:pt idx="117">
                  <c:v>5.4995562921855007E-4</c:v>
                </c:pt>
                <c:pt idx="118">
                  <c:v>5.3996665442036448E-4</c:v>
                </c:pt>
                <c:pt idx="119">
                  <c:v>5.28396801779768E-4</c:v>
                </c:pt>
                <c:pt idx="120">
                  <c:v>5.176703136288846E-4</c:v>
                </c:pt>
                <c:pt idx="121">
                  <c:v>5.0756896588492403E-4</c:v>
                </c:pt>
                <c:pt idx="122">
                  <c:v>4.971447527771268E-4</c:v>
                </c:pt>
                <c:pt idx="123">
                  <c:v>4.8630272625347151E-4</c:v>
                </c:pt>
                <c:pt idx="124">
                  <c:v>4.7609207276021193E-4</c:v>
                </c:pt>
                <c:pt idx="125">
                  <c:v>4.6456582340138886E-4</c:v>
                </c:pt>
                <c:pt idx="126">
                  <c:v>4.5411032170027815E-4</c:v>
                </c:pt>
                <c:pt idx="127">
                  <c:v>4.4225092402851857E-4</c:v>
                </c:pt>
                <c:pt idx="128">
                  <c:v>4.2802194020714543E-4</c:v>
                </c:pt>
                <c:pt idx="129">
                  <c:v>4.0979739279090738E-4</c:v>
                </c:pt>
                <c:pt idx="130">
                  <c:v>3.9016837839873919E-4</c:v>
                </c:pt>
                <c:pt idx="131">
                  <c:v>3.734815544896089E-4</c:v>
                </c:pt>
                <c:pt idx="132">
                  <c:v>3.6241816085013506E-4</c:v>
                </c:pt>
                <c:pt idx="133">
                  <c:v>3.5476444979753649E-4</c:v>
                </c:pt>
                <c:pt idx="134">
                  <c:v>3.49543736826715E-4</c:v>
                </c:pt>
                <c:pt idx="135">
                  <c:v>3.4459612082410676E-4</c:v>
                </c:pt>
                <c:pt idx="136">
                  <c:v>3.3944713721949932E-4</c:v>
                </c:pt>
                <c:pt idx="137">
                  <c:v>3.347987174647446E-4</c:v>
                </c:pt>
                <c:pt idx="138">
                  <c:v>3.2823845178322694E-4</c:v>
                </c:pt>
                <c:pt idx="139">
                  <c:v>3.2210002876772656E-4</c:v>
                </c:pt>
                <c:pt idx="140">
                  <c:v>3.160716570193324E-4</c:v>
                </c:pt>
                <c:pt idx="141">
                  <c:v>3.0921144689597876E-4</c:v>
                </c:pt>
                <c:pt idx="142">
                  <c:v>3.0168317696066538E-4</c:v>
                </c:pt>
                <c:pt idx="143">
                  <c:v>2.938270405857743E-4</c:v>
                </c:pt>
                <c:pt idx="144">
                  <c:v>2.8547676440971934E-4</c:v>
                </c:pt>
                <c:pt idx="145">
                  <c:v>2.7678749071870928E-4</c:v>
                </c:pt>
                <c:pt idx="146">
                  <c:v>2.6702351023255577E-4</c:v>
                </c:pt>
                <c:pt idx="147">
                  <c:v>2.5663428112378261E-4</c:v>
                </c:pt>
                <c:pt idx="148">
                  <c:v>2.4671098891712248E-4</c:v>
                </c:pt>
                <c:pt idx="149">
                  <c:v>2.3527938311922528E-4</c:v>
                </c:pt>
                <c:pt idx="150">
                  <c:v>2.2381642681579272E-4</c:v>
                </c:pt>
                <c:pt idx="151">
                  <c:v>2.1263936742289477E-4</c:v>
                </c:pt>
                <c:pt idx="152">
                  <c:v>2.0140768289609798E-4</c:v>
                </c:pt>
                <c:pt idx="153">
                  <c:v>1.9078445045082881E-4</c:v>
                </c:pt>
                <c:pt idx="154">
                  <c:v>1.8021286670712525E-4</c:v>
                </c:pt>
                <c:pt idx="155">
                  <c:v>1.694981311974042E-4</c:v>
                </c:pt>
                <c:pt idx="156">
                  <c:v>1.5891258841935207E-4</c:v>
                </c:pt>
                <c:pt idx="157">
                  <c:v>1.4835677251888446E-4</c:v>
                </c:pt>
                <c:pt idx="158">
                  <c:v>1.3756356835748287E-4</c:v>
                </c:pt>
                <c:pt idx="159">
                  <c:v>1.271069450867017E-4</c:v>
                </c:pt>
                <c:pt idx="160">
                  <c:v>1.1726822691117411E-4</c:v>
                </c:pt>
                <c:pt idx="161">
                  <c:v>1.0805215544520616E-4</c:v>
                </c:pt>
                <c:pt idx="162">
                  <c:v>9.9891837283296037E-5</c:v>
                </c:pt>
                <c:pt idx="163">
                  <c:v>9.2759702524543297E-5</c:v>
                </c:pt>
                <c:pt idx="164">
                  <c:v>8.6060719497047661E-5</c:v>
                </c:pt>
                <c:pt idx="165">
                  <c:v>7.9542776281426447E-5</c:v>
                </c:pt>
                <c:pt idx="166">
                  <c:v>7.2936930911777359E-5</c:v>
                </c:pt>
                <c:pt idx="167">
                  <c:v>6.6412147349391437E-5</c:v>
                </c:pt>
                <c:pt idx="168">
                  <c:v>6.0859441255375901E-5</c:v>
                </c:pt>
                <c:pt idx="169">
                  <c:v>5.6813374632161406E-5</c:v>
                </c:pt>
                <c:pt idx="170">
                  <c:v>5.4130034789715703E-5</c:v>
                </c:pt>
                <c:pt idx="171">
                  <c:v>5.2406515961014866E-5</c:v>
                </c:pt>
                <c:pt idx="172">
                  <c:v>5.1391314405794392E-5</c:v>
                </c:pt>
                <c:pt idx="173">
                  <c:v>5.068272850864558E-5</c:v>
                </c:pt>
                <c:pt idx="174">
                  <c:v>5.0131970397541969E-5</c:v>
                </c:pt>
                <c:pt idx="175">
                  <c:v>4.9694877119827591E-5</c:v>
                </c:pt>
                <c:pt idx="176">
                  <c:v>4.9316207712635923E-5</c:v>
                </c:pt>
                <c:pt idx="177">
                  <c:v>4.8961233152865213E-5</c:v>
                </c:pt>
                <c:pt idx="178">
                  <c:v>4.8612441101103521E-5</c:v>
                </c:pt>
                <c:pt idx="179">
                  <c:v>4.8240363926220498E-5</c:v>
                </c:pt>
                <c:pt idx="180">
                  <c:v>4.7878682218158164E-5</c:v>
                </c:pt>
                <c:pt idx="181">
                  <c:v>4.7595631304762909E-5</c:v>
                </c:pt>
                <c:pt idx="182">
                  <c:v>4.7333461914107755E-5</c:v>
                </c:pt>
                <c:pt idx="183">
                  <c:v>4.7136152917081481E-5</c:v>
                </c:pt>
                <c:pt idx="184">
                  <c:v>4.7003015147841637E-5</c:v>
                </c:pt>
                <c:pt idx="185">
                  <c:v>4.6843769242597977E-5</c:v>
                </c:pt>
                <c:pt idx="186">
                  <c:v>4.6676963799351795E-5</c:v>
                </c:pt>
                <c:pt idx="187">
                  <c:v>4.6656824782522616E-5</c:v>
                </c:pt>
                <c:pt idx="188">
                  <c:v>4.6678375313868176E-5</c:v>
                </c:pt>
                <c:pt idx="189">
                  <c:v>4.6694698472529717E-5</c:v>
                </c:pt>
                <c:pt idx="190">
                  <c:v>4.6848650446289219E-5</c:v>
                </c:pt>
                <c:pt idx="191">
                  <c:v>4.6947116263552913E-5</c:v>
                </c:pt>
                <c:pt idx="192">
                  <c:v>4.7066676792124201E-5</c:v>
                </c:pt>
                <c:pt idx="193">
                  <c:v>4.7312972442210832E-5</c:v>
                </c:pt>
                <c:pt idx="194">
                  <c:v>4.7579442882250689E-5</c:v>
                </c:pt>
                <c:pt idx="195">
                  <c:v>4.7919502141603038E-5</c:v>
                </c:pt>
                <c:pt idx="196">
                  <c:v>4.8321255203508107E-5</c:v>
                </c:pt>
                <c:pt idx="197">
                  <c:v>4.867396479684219E-5</c:v>
                </c:pt>
                <c:pt idx="198">
                  <c:v>4.8954556329371818E-5</c:v>
                </c:pt>
                <c:pt idx="199">
                  <c:v>4.9355465811733862E-5</c:v>
                </c:pt>
                <c:pt idx="200">
                  <c:v>4.9758160968724902E-5</c:v>
                </c:pt>
                <c:pt idx="201">
                  <c:v>5.0602590851524243E-5</c:v>
                </c:pt>
                <c:pt idx="202">
                  <c:v>5.0671643223927643E-5</c:v>
                </c:pt>
                <c:pt idx="203">
                  <c:v>5.063523366233974E-5</c:v>
                </c:pt>
                <c:pt idx="204">
                  <c:v>5.0491731860113909E-5</c:v>
                </c:pt>
                <c:pt idx="205">
                  <c:v>5.0350379318671312E-5</c:v>
                </c:pt>
                <c:pt idx="206">
                  <c:v>4.9873441964758819E-5</c:v>
                </c:pt>
                <c:pt idx="207">
                  <c:v>4.9404943206120266E-5</c:v>
                </c:pt>
                <c:pt idx="208">
                  <c:v>4.8713189461434964E-5</c:v>
                </c:pt>
                <c:pt idx="209">
                  <c:v>4.7818887214196026E-5</c:v>
                </c:pt>
                <c:pt idx="210">
                  <c:v>4.6958803234182014E-5</c:v>
                </c:pt>
                <c:pt idx="211">
                  <c:v>4.5110410527442885E-5</c:v>
                </c:pt>
                <c:pt idx="212">
                  <c:v>4.342969896606666E-5</c:v>
                </c:pt>
                <c:pt idx="213">
                  <c:v>4.1463883998855283E-5</c:v>
                </c:pt>
                <c:pt idx="214">
                  <c:v>3.9337528960837337E-5</c:v>
                </c:pt>
                <c:pt idx="215">
                  <c:v>3.7476885222181844E-5</c:v>
                </c:pt>
                <c:pt idx="216">
                  <c:v>3.5531163148102771E-5</c:v>
                </c:pt>
                <c:pt idx="217">
                  <c:v>3.3842186067828753E-5</c:v>
                </c:pt>
                <c:pt idx="218">
                  <c:v>3.2737881754084375E-5</c:v>
                </c:pt>
                <c:pt idx="219">
                  <c:v>3.2082975950370116E-5</c:v>
                </c:pt>
                <c:pt idx="220">
                  <c:v>3.1461002868077292E-5</c:v>
                </c:pt>
                <c:pt idx="221">
                  <c:v>3.1099333303204191E-5</c:v>
                </c:pt>
                <c:pt idx="222">
                  <c:v>3.0747272155287261E-5</c:v>
                </c:pt>
                <c:pt idx="223">
                  <c:v>3.0405893422798258E-5</c:v>
                </c:pt>
                <c:pt idx="224">
                  <c:v>3.0074725642929151E-5</c:v>
                </c:pt>
                <c:pt idx="225">
                  <c:v>2.9751965129153415E-5</c:v>
                </c:pt>
                <c:pt idx="226">
                  <c:v>2.9463773581137054E-5</c:v>
                </c:pt>
                <c:pt idx="227">
                  <c:v>2.9182007187459821E-5</c:v>
                </c:pt>
                <c:pt idx="228">
                  <c:v>2.8891973579079841E-5</c:v>
                </c:pt>
                <c:pt idx="229">
                  <c:v>2.8594602913640729E-5</c:v>
                </c:pt>
                <c:pt idx="230">
                  <c:v>2.8304504881100298E-5</c:v>
                </c:pt>
                <c:pt idx="231">
                  <c:v>2.7954494141049432E-5</c:v>
                </c:pt>
                <c:pt idx="232">
                  <c:v>2.7615349484890611E-5</c:v>
                </c:pt>
                <c:pt idx="233">
                  <c:v>2.7303813163192386E-5</c:v>
                </c:pt>
                <c:pt idx="234">
                  <c:v>2.7017794925527153E-5</c:v>
                </c:pt>
                <c:pt idx="235">
                  <c:v>2.6739197441045734E-5</c:v>
                </c:pt>
                <c:pt idx="236">
                  <c:v>2.6392644978862068E-5</c:v>
                </c:pt>
                <c:pt idx="237">
                  <c:v>2.6057945463071885E-5</c:v>
                </c:pt>
                <c:pt idx="238">
                  <c:v>2.5662070597403872E-5</c:v>
                </c:pt>
                <c:pt idx="239">
                  <c:v>2.5214528981623227E-5</c:v>
                </c:pt>
                <c:pt idx="240">
                  <c:v>2.4789482017421524E-5</c:v>
                </c:pt>
                <c:pt idx="241">
                  <c:v>2.4450922311869752E-5</c:v>
                </c:pt>
                <c:pt idx="242">
                  <c:v>2.4125437772864675E-5</c:v>
                </c:pt>
                <c:pt idx="243">
                  <c:v>2.3813542392397621E-5</c:v>
                </c:pt>
                <c:pt idx="244">
                  <c:v>2.3514383890832838E-5</c:v>
                </c:pt>
                <c:pt idx="245">
                  <c:v>2.3226013309510934E-5</c:v>
                </c:pt>
                <c:pt idx="246">
                  <c:v>2.2950244370718853E-5</c:v>
                </c:pt>
                <c:pt idx="247">
                  <c:v>2.2683955046360477E-5</c:v>
                </c:pt>
                <c:pt idx="248">
                  <c:v>2.242511939097927E-5</c:v>
                </c:pt>
                <c:pt idx="249">
                  <c:v>2.2173454702682088E-5</c:v>
                </c:pt>
                <c:pt idx="250">
                  <c:v>2.1930115240747367E-5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46-40AE-8272-B29DFFD9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40352"/>
        <c:axId val="89942272"/>
      </c:scatterChart>
      <c:valAx>
        <c:axId val="89940352"/>
        <c:scaling>
          <c:orientation val="minMax"/>
          <c:max val="90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27907001120689429"/>
              <c:y val="0.899456521739130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942272"/>
        <c:crosses val="autoZero"/>
        <c:crossBetween val="midCat"/>
        <c:majorUnit val="100"/>
        <c:minorUnit val="10"/>
      </c:valAx>
      <c:valAx>
        <c:axId val="89942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Reflectance</a:t>
                </a:r>
              </a:p>
            </c:rich>
          </c:tx>
          <c:layout>
            <c:manualLayout>
              <c:xMode val="edge"/>
              <c:yMode val="edge"/>
              <c:x val="3.0411475580238479E-2"/>
              <c:y val="0.377717391304347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99403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620810407824383"/>
          <c:y val="0.30434782608695654"/>
          <c:w val="0.30948148678713278"/>
          <c:h val="0.328804347826086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SampleRRS!$L$13" lockText="1" noThreeD="1"/>
</file>

<file path=xl/ctrlProps/ctrlProp4.xml><?xml version="1.0" encoding="utf-8"?>
<formControlPr xmlns="http://schemas.microsoft.com/office/spreadsheetml/2009/9/main" objectType="CheckBox" fmlaLink="SampleRRS!$P$13" lockText="1" noThreeD="1"/>
</file>

<file path=xl/ctrlProps/ctrlProp5.xml><?xml version="1.0" encoding="utf-8"?>
<formControlPr xmlns="http://schemas.microsoft.com/office/spreadsheetml/2009/9/main" objectType="CheckBox" fmlaLink="SampleRRS!$K$13" lockText="1" noThreeD="1"/>
</file>

<file path=xl/ctrlProps/ctrlProp6.xml><?xml version="1.0" encoding="utf-8"?>
<formControlPr xmlns="http://schemas.microsoft.com/office/spreadsheetml/2009/9/main" objectType="Spin" dx="16" fmlaLink="CounterCDOM" max="41" min="1" page="10"/>
</file>

<file path=xl/ctrlProps/ctrlProp7.xml><?xml version="1.0" encoding="utf-8"?>
<formControlPr xmlns="http://schemas.microsoft.com/office/spreadsheetml/2009/9/main" objectType="Spin" dx="16" fmlaLink="CounterNAP" max="51" min="1" page="10"/>
</file>

<file path=xl/ctrlProps/ctrlProp8.xml><?xml version="1.0" encoding="utf-8"?>
<formControlPr xmlns="http://schemas.microsoft.com/office/spreadsheetml/2009/9/main" objectType="Spin" dx="16" fmlaLink="CounterCHL" max="51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542925</xdr:colOff>
      <xdr:row>0</xdr:row>
      <xdr:rowOff>19050</xdr:rowOff>
    </xdr:from>
    <xdr:to>
      <xdr:col>18</xdr:col>
      <xdr:colOff>0</xdr:colOff>
      <xdr:row>22</xdr:row>
      <xdr:rowOff>19050</xdr:rowOff>
    </xdr:to>
    <xdr:graphicFrame macro="">
      <xdr:nvGraphicFramePr>
        <xdr:cNvPr id="81942" name="Chart 22">
          <a:extLst>
            <a:ext uri="{FF2B5EF4-FFF2-40B4-BE49-F238E27FC236}">
              <a16:creationId xmlns:a16="http://schemas.microsoft.com/office/drawing/2014/main" id="{00000000-0008-0000-0000-0000164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28575</xdr:rowOff>
    </xdr:from>
    <xdr:to>
      <xdr:col>5</xdr:col>
      <xdr:colOff>95250</xdr:colOff>
      <xdr:row>22</xdr:row>
      <xdr:rowOff>28575</xdr:rowOff>
    </xdr:to>
    <xdr:graphicFrame macro="">
      <xdr:nvGraphicFramePr>
        <xdr:cNvPr id="81923" name="Chart 3">
          <a:extLst>
            <a:ext uri="{FF2B5EF4-FFF2-40B4-BE49-F238E27FC236}">
              <a16:creationId xmlns:a16="http://schemas.microsoft.com/office/drawing/2014/main" id="{00000000-0008-0000-0000-0000034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123825</xdr:rowOff>
        </xdr:from>
        <xdr:to>
          <xdr:col>3</xdr:col>
          <xdr:colOff>609600</xdr:colOff>
          <xdr:row>21</xdr:row>
          <xdr:rowOff>47625</xdr:rowOff>
        </xdr:to>
        <xdr:grpSp>
          <xdr:nvGrpSpPr>
            <xdr:cNvPr id="81957" name="Group 37">
              <a:extLst>
                <a:ext uri="{FF2B5EF4-FFF2-40B4-BE49-F238E27FC236}">
                  <a16:creationId xmlns:a16="http://schemas.microsoft.com/office/drawing/2014/main" id="{00000000-0008-0000-0000-0000254001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901065" y="2973705"/>
              <a:ext cx="1948815" cy="594360"/>
              <a:chOff x="92" y="336"/>
              <a:chExt cx="201" cy="60"/>
            </a:xfrm>
          </xdr:grpSpPr>
          <xdr:sp macro="" textlink="">
            <xdr:nvSpPr>
              <xdr:cNvPr id="81928" name="Spinner 8" hidden="1">
                <a:extLst>
                  <a:ext uri="{63B3BB69-23CF-44E3-9099-C40C66FF867C}">
                    <a14:compatExt spid="_x0000_s81928"/>
                  </a:ext>
                  <a:ext uri="{FF2B5EF4-FFF2-40B4-BE49-F238E27FC236}">
                    <a16:creationId xmlns:a16="http://schemas.microsoft.com/office/drawing/2014/main" id="{00000000-0008-0000-0000-000008400100}"/>
                  </a:ext>
                </a:extLst>
              </xdr:cNvPr>
              <xdr:cNvSpPr/>
            </xdr:nvSpPr>
            <xdr:spPr bwMode="auto">
              <a:xfrm>
                <a:off x="233" y="336"/>
                <a:ext cx="60" cy="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81927" name="Spinner 7" hidden="1">
                <a:extLst>
                  <a:ext uri="{63B3BB69-23CF-44E3-9099-C40C66FF867C}">
                    <a14:compatExt spid="_x0000_s81927"/>
                  </a:ext>
                  <a:ext uri="{FF2B5EF4-FFF2-40B4-BE49-F238E27FC236}">
                    <a16:creationId xmlns:a16="http://schemas.microsoft.com/office/drawing/2014/main" id="{00000000-0008-0000-0000-000007400100}"/>
                  </a:ext>
                </a:extLst>
              </xdr:cNvPr>
              <xdr:cNvSpPr/>
            </xdr:nvSpPr>
            <xdr:spPr bwMode="auto">
              <a:xfrm>
                <a:off x="163" y="336"/>
                <a:ext cx="60" cy="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81925" name="Spinner 5" hidden="1">
                <a:extLst>
                  <a:ext uri="{63B3BB69-23CF-44E3-9099-C40C66FF867C}">
                    <a14:compatExt spid="_x0000_s81925"/>
                  </a:ext>
                  <a:ext uri="{FF2B5EF4-FFF2-40B4-BE49-F238E27FC236}">
                    <a16:creationId xmlns:a16="http://schemas.microsoft.com/office/drawing/2014/main" id="{00000000-0008-0000-0000-000005400100}"/>
                  </a:ext>
                </a:extLst>
              </xdr:cNvPr>
              <xdr:cNvSpPr/>
            </xdr:nvSpPr>
            <xdr:spPr bwMode="auto">
              <a:xfrm>
                <a:off x="92" y="336"/>
                <a:ext cx="60" cy="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0</xdr:rowOff>
        </xdr:from>
        <xdr:to>
          <xdr:col>0</xdr:col>
          <xdr:colOff>769620</xdr:colOff>
          <xdr:row>21</xdr:row>
          <xdr:rowOff>22860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0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19</xdr:row>
          <xdr:rowOff>30480</xdr:rowOff>
        </xdr:from>
        <xdr:to>
          <xdr:col>12</xdr:col>
          <xdr:colOff>350520</xdr:colOff>
          <xdr:row>21</xdr:row>
          <xdr:rowOff>106680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0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spectrum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304800</xdr:colOff>
      <xdr:row>18</xdr:row>
      <xdr:rowOff>47625</xdr:rowOff>
    </xdr:from>
    <xdr:to>
      <xdr:col>10</xdr:col>
      <xdr:colOff>476250</xdr:colOff>
      <xdr:row>39</xdr:row>
      <xdr:rowOff>38100</xdr:rowOff>
    </xdr:to>
    <xdr:graphicFrame macro="">
      <xdr:nvGraphicFramePr>
        <xdr:cNvPr id="81949" name="Chart 29">
          <a:extLst>
            <a:ext uri="{FF2B5EF4-FFF2-40B4-BE49-F238E27FC236}">
              <a16:creationId xmlns:a16="http://schemas.microsoft.com/office/drawing/2014/main" id="{00000000-0008-0000-0000-00001D4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323850</xdr:colOff>
      <xdr:row>0</xdr:row>
      <xdr:rowOff>9525</xdr:rowOff>
    </xdr:from>
    <xdr:to>
      <xdr:col>10</xdr:col>
      <xdr:colOff>447675</xdr:colOff>
      <xdr:row>18</xdr:row>
      <xdr:rowOff>9525</xdr:rowOff>
    </xdr:to>
    <xdr:graphicFrame macro="">
      <xdr:nvGraphicFramePr>
        <xdr:cNvPr id="81951" name="Chart 31">
          <a:extLst>
            <a:ext uri="{FF2B5EF4-FFF2-40B4-BE49-F238E27FC236}">
              <a16:creationId xmlns:a16="http://schemas.microsoft.com/office/drawing/2014/main" id="{00000000-0008-0000-0000-00001F4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1</xdr:row>
          <xdr:rowOff>45720</xdr:rowOff>
        </xdr:from>
        <xdr:to>
          <xdr:col>18</xdr:col>
          <xdr:colOff>83820</xdr:colOff>
          <xdr:row>2</xdr:row>
          <xdr:rowOff>121920</xdr:rowOff>
        </xdr:to>
        <xdr:sp macro="" textlink="">
          <xdr:nvSpPr>
            <xdr:cNvPr id="81964" name="Check Box 44" hidden="1">
              <a:extLst>
                <a:ext uri="{63B3BB69-23CF-44E3-9099-C40C66FF867C}">
                  <a14:compatExt spid="_x0000_s81964"/>
                </a:ext>
                <a:ext uri="{FF2B5EF4-FFF2-40B4-BE49-F238E27FC236}">
                  <a16:creationId xmlns:a16="http://schemas.microsoft.com/office/drawing/2014/main" id="{00000000-0008-0000-0000-00002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Plot Sample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3</xdr:row>
          <xdr:rowOff>30480</xdr:rowOff>
        </xdr:from>
        <xdr:to>
          <xdr:col>18</xdr:col>
          <xdr:colOff>83820</xdr:colOff>
          <xdr:row>4</xdr:row>
          <xdr:rowOff>106680</xdr:rowOff>
        </xdr:to>
        <xdr:sp macro="" textlink="">
          <xdr:nvSpPr>
            <xdr:cNvPr id="81965" name="Check Box 45" hidden="1">
              <a:extLst>
                <a:ext uri="{63B3BB69-23CF-44E3-9099-C40C66FF867C}">
                  <a14:compatExt spid="_x0000_s81965"/>
                </a:ext>
                <a:ext uri="{FF2B5EF4-FFF2-40B4-BE49-F238E27FC236}">
                  <a16:creationId xmlns:a16="http://schemas.microsoft.com/office/drawing/2014/main" id="{00000000-0008-0000-0000-00002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Plot User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274320</xdr:colOff>
          <xdr:row>4</xdr:row>
          <xdr:rowOff>144780</xdr:rowOff>
        </xdr:from>
        <xdr:to>
          <xdr:col>18</xdr:col>
          <xdr:colOff>76200</xdr:colOff>
          <xdr:row>6</xdr:row>
          <xdr:rowOff>60960</xdr:rowOff>
        </xdr:to>
        <xdr:sp macro="" textlink="">
          <xdr:nvSpPr>
            <xdr:cNvPr id="81966" name="Check Box 46" hidden="1">
              <a:extLst>
                <a:ext uri="{63B3BB69-23CF-44E3-9099-C40C66FF867C}">
                  <a14:compatExt spid="_x0000_s81966"/>
                </a:ext>
                <a:ext uri="{FF2B5EF4-FFF2-40B4-BE49-F238E27FC236}">
                  <a16:creationId xmlns:a16="http://schemas.microsoft.com/office/drawing/2014/main" id="{00000000-0008-0000-0000-00002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Plot Saved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9525</xdr:rowOff>
    </xdr:from>
    <xdr:to>
      <xdr:col>15</xdr:col>
      <xdr:colOff>447675</xdr:colOff>
      <xdr:row>33</xdr:row>
      <xdr:rowOff>114300</xdr:rowOff>
    </xdr:to>
    <xdr:graphicFrame macro="">
      <xdr:nvGraphicFramePr>
        <xdr:cNvPr id="103425" name="Chart 1">
          <a:extLst>
            <a:ext uri="{FF2B5EF4-FFF2-40B4-BE49-F238E27FC236}">
              <a16:creationId xmlns:a16="http://schemas.microsoft.com/office/drawing/2014/main" id="{00000000-0008-0000-0500-0000019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2:E48"/>
  <sheetViews>
    <sheetView tabSelected="1" workbookViewId="0"/>
  </sheetViews>
  <sheetFormatPr defaultRowHeight="13.2" x14ac:dyDescent="0.25"/>
  <cols>
    <col min="1" max="1" width="12.44140625" customWidth="1"/>
    <col min="2" max="5" width="10.109375" customWidth="1"/>
    <col min="14" max="14" width="13.5546875" customWidth="1"/>
  </cols>
  <sheetData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0</v>
      </c>
    </row>
    <row r="23" spans="2:5" ht="13.8" x14ac:dyDescent="0.25">
      <c r="B23" s="19">
        <f>B44</f>
        <v>0.01</v>
      </c>
      <c r="C23" s="19">
        <f>C44</f>
        <v>0.01</v>
      </c>
      <c r="D23" s="19">
        <f>D44</f>
        <v>1E-3</v>
      </c>
      <c r="E23" s="20">
        <f>C23+PARAMETERS!B8*INPUT!B23</f>
        <v>1.0700000000000001E-2</v>
      </c>
    </row>
    <row r="24" spans="2:5" ht="9" customHeight="1" x14ac:dyDescent="0.3">
      <c r="B24" s="17"/>
      <c r="C24" s="17"/>
      <c r="E24" s="18"/>
    </row>
    <row r="25" spans="2:5" ht="9" customHeight="1" x14ac:dyDescent="0.3">
      <c r="B25" s="17"/>
      <c r="C25" s="17"/>
      <c r="E25" s="18"/>
    </row>
    <row r="26" spans="2:5" ht="9" customHeight="1" x14ac:dyDescent="0.3">
      <c r="B26" s="17"/>
      <c r="C26" s="17"/>
      <c r="E26" s="18"/>
    </row>
    <row r="27" spans="2:5" ht="9" customHeight="1" x14ac:dyDescent="0.3">
      <c r="B27" s="17"/>
      <c r="C27" s="17"/>
      <c r="E27" s="18"/>
    </row>
    <row r="28" spans="2:5" ht="9" customHeight="1" x14ac:dyDescent="0.3">
      <c r="B28" s="17"/>
      <c r="C28" s="17"/>
      <c r="E28" s="18"/>
    </row>
    <row r="29" spans="2:5" ht="9" customHeight="1" x14ac:dyDescent="0.3">
      <c r="B29" s="17"/>
      <c r="C29" s="17"/>
      <c r="E29" s="18"/>
    </row>
    <row r="30" spans="2:5" ht="9" customHeight="1" x14ac:dyDescent="0.3">
      <c r="B30" s="17"/>
      <c r="C30" s="17"/>
      <c r="E30" s="18"/>
    </row>
    <row r="31" spans="2:5" ht="9" customHeight="1" x14ac:dyDescent="0.3">
      <c r="B31" s="17"/>
      <c r="C31" s="17"/>
      <c r="E31" s="18"/>
    </row>
    <row r="32" spans="2:5" ht="9" customHeight="1" x14ac:dyDescent="0.3">
      <c r="B32" s="17"/>
      <c r="C32" s="17"/>
      <c r="E32" s="18"/>
    </row>
    <row r="39" spans="1:5" x14ac:dyDescent="0.25">
      <c r="B39" s="22"/>
      <c r="C39" s="22"/>
      <c r="D39" s="23"/>
      <c r="E39" s="24"/>
    </row>
    <row r="40" spans="1:5" x14ac:dyDescent="0.25">
      <c r="B40" s="14"/>
      <c r="C40" s="21"/>
      <c r="D40" s="14"/>
      <c r="E40" s="24"/>
    </row>
    <row r="41" spans="1:5" x14ac:dyDescent="0.25">
      <c r="A41" t="s">
        <v>71</v>
      </c>
      <c r="B41" s="14"/>
      <c r="C41" s="14"/>
      <c r="D41" s="14"/>
      <c r="E41" s="13"/>
    </row>
    <row r="42" spans="1:5" x14ac:dyDescent="0.25">
      <c r="B42" s="4" t="s">
        <v>47</v>
      </c>
      <c r="C42" s="4" t="s">
        <v>73</v>
      </c>
      <c r="D42" s="4" t="s">
        <v>48</v>
      </c>
      <c r="E42" s="4" t="s">
        <v>55</v>
      </c>
    </row>
    <row r="43" spans="1:5" x14ac:dyDescent="0.25">
      <c r="A43" t="s">
        <v>52</v>
      </c>
      <c r="B43">
        <v>1</v>
      </c>
      <c r="C43">
        <v>1</v>
      </c>
      <c r="D43">
        <v>1</v>
      </c>
    </row>
    <row r="44" spans="1:5" x14ac:dyDescent="0.25">
      <c r="A44" t="s">
        <v>53</v>
      </c>
      <c r="B44">
        <f>B45*(POWER(10,(B43-1)/B47))</f>
        <v>0.01</v>
      </c>
      <c r="C44">
        <f>C45*(POWER(10,(C43-1)/C47))</f>
        <v>0.01</v>
      </c>
      <c r="D44">
        <f>D45*(POWER(10,(D43-1)/D47))</f>
        <v>1E-3</v>
      </c>
    </row>
    <row r="45" spans="1:5" x14ac:dyDescent="0.25">
      <c r="A45" t="s">
        <v>49</v>
      </c>
      <c r="B45">
        <v>0.01</v>
      </c>
      <c r="C45">
        <v>0.01</v>
      </c>
      <c r="D45">
        <v>1E-3</v>
      </c>
    </row>
    <row r="46" spans="1:5" x14ac:dyDescent="0.25">
      <c r="A46" t="s">
        <v>50</v>
      </c>
      <c r="B46">
        <v>1000</v>
      </c>
      <c r="C46">
        <v>1000</v>
      </c>
      <c r="D46">
        <v>10</v>
      </c>
    </row>
    <row r="47" spans="1:5" x14ac:dyDescent="0.25">
      <c r="A47" t="s">
        <v>51</v>
      </c>
      <c r="B47">
        <v>10</v>
      </c>
      <c r="C47">
        <v>10</v>
      </c>
      <c r="D47">
        <v>10</v>
      </c>
    </row>
    <row r="48" spans="1:5" x14ac:dyDescent="0.25">
      <c r="A48" t="s">
        <v>54</v>
      </c>
      <c r="B48">
        <f>LOG10(B46/B45)*B47+1</f>
        <v>51</v>
      </c>
      <c r="C48">
        <f>LOG10(C46/C45)*C47+1</f>
        <v>51</v>
      </c>
      <c r="D48">
        <f>LOG10(D46/D45)*D47+1</f>
        <v>41</v>
      </c>
    </row>
  </sheetData>
  <phoneticPr fontId="0" type="noConversion"/>
  <pageMargins left="0.75" right="0.75" top="1" bottom="1" header="0.5" footer="0.5"/>
  <pageSetup paperSize="9" scale="6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9" r:id="rId4" name="Button 19">
              <controlPr defaultSize="0" autoFill="0" autoPict="0" macro="[0]!reset_input">
                <anchor moveWithCells="1" sizeWithCells="1">
                  <from>
                    <xdr:col>0</xdr:col>
                    <xdr:colOff>114300</xdr:colOff>
                    <xdr:row>18</xdr:row>
                    <xdr:rowOff>0</xdr:rowOff>
                  </from>
                  <to>
                    <xdr:col>0</xdr:col>
                    <xdr:colOff>769620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5" name="Button 23">
              <controlPr defaultSize="0" autoFill="0" autoPict="0" macro="[0]!SaveRrs">
                <anchor moveWithCells="1" sizeWithCells="1">
                  <from>
                    <xdr:col>11</xdr:col>
                    <xdr:colOff>83820</xdr:colOff>
                    <xdr:row>19</xdr:row>
                    <xdr:rowOff>30480</xdr:rowOff>
                  </from>
                  <to>
                    <xdr:col>12</xdr:col>
                    <xdr:colOff>350520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4" r:id="rId6" name="Check Box 44">
              <controlPr defaultSize="0" autoFill="0" autoLine="0" autoPict="0">
                <anchor moveWithCells="1">
                  <from>
                    <xdr:col>16</xdr:col>
                    <xdr:colOff>289560</xdr:colOff>
                    <xdr:row>1</xdr:row>
                    <xdr:rowOff>45720</xdr:rowOff>
                  </from>
                  <to>
                    <xdr:col>18</xdr:col>
                    <xdr:colOff>83820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5" r:id="rId7" name="Check Box 45">
              <controlPr defaultSize="0" autoFill="0" autoLine="0" autoPict="0">
                <anchor moveWithCells="1">
                  <from>
                    <xdr:col>16</xdr:col>
                    <xdr:colOff>289560</xdr:colOff>
                    <xdr:row>3</xdr:row>
                    <xdr:rowOff>30480</xdr:rowOff>
                  </from>
                  <to>
                    <xdr:col>18</xdr:col>
                    <xdr:colOff>83820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6" r:id="rId8" name="Check Box 46">
              <controlPr defaultSize="0" autoFill="0" autoLine="0" autoPict="0">
                <anchor moveWithCells="1">
                  <from>
                    <xdr:col>16</xdr:col>
                    <xdr:colOff>274320</xdr:colOff>
                    <xdr:row>4</xdr:row>
                    <xdr:rowOff>144780</xdr:rowOff>
                  </from>
                  <to>
                    <xdr:col>18</xdr:col>
                    <xdr:colOff>76200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9" name="Spinner 8">
              <controlPr defaultSize="0" autoPict="0">
                <anchor moveWithCells="1" sizeWithCells="1">
                  <from>
                    <xdr:col>3</xdr:col>
                    <xdr:colOff>30480</xdr:colOff>
                    <xdr:row>17</xdr:row>
                    <xdr:rowOff>121920</xdr:rowOff>
                  </from>
                  <to>
                    <xdr:col>3</xdr:col>
                    <xdr:colOff>609600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Spinner 7">
              <controlPr defaultSize="0" autoPict="0">
                <anchor moveWithCells="1" sizeWithCells="1">
                  <from>
                    <xdr:col>2</xdr:col>
                    <xdr:colOff>45720</xdr:colOff>
                    <xdr:row>17</xdr:row>
                    <xdr:rowOff>121920</xdr:rowOff>
                  </from>
                  <to>
                    <xdr:col>2</xdr:col>
                    <xdr:colOff>624840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11" name="Spinner 5">
              <controlPr defaultSize="0" autoPict="0">
                <anchor moveWithCells="1" sizeWithCells="1">
                  <from>
                    <xdr:col>1</xdr:col>
                    <xdr:colOff>45720</xdr:colOff>
                    <xdr:row>17</xdr:row>
                    <xdr:rowOff>121920</xdr:rowOff>
                  </from>
                  <to>
                    <xdr:col>1</xdr:col>
                    <xdr:colOff>632460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"/>
  <sheetViews>
    <sheetView workbookViewId="0">
      <selection activeCell="B3" sqref="B3"/>
    </sheetView>
  </sheetViews>
  <sheetFormatPr defaultRowHeight="13.2" x14ac:dyDescent="0.25"/>
  <sheetData>
    <row r="1" spans="1:2" x14ac:dyDescent="0.25">
      <c r="A1" s="1" t="s">
        <v>108</v>
      </c>
      <c r="B1" s="1"/>
    </row>
    <row r="2" spans="1:2" x14ac:dyDescent="0.25">
      <c r="A2" s="1" t="s">
        <v>3</v>
      </c>
      <c r="B2" s="1">
        <v>3.1</v>
      </c>
    </row>
    <row r="3" spans="1:2" x14ac:dyDescent="0.25">
      <c r="A3" s="1" t="s">
        <v>4</v>
      </c>
      <c r="B3" s="1" t="s">
        <v>136</v>
      </c>
    </row>
    <row r="4" spans="1:2" x14ac:dyDescent="0.25">
      <c r="A4" s="1"/>
      <c r="B4" s="1"/>
    </row>
    <row r="5" spans="1:2" x14ac:dyDescent="0.25">
      <c r="A5" s="1" t="s">
        <v>109</v>
      </c>
      <c r="B5" s="1"/>
    </row>
    <row r="6" spans="1:2" x14ac:dyDescent="0.25">
      <c r="A6" s="1" t="s">
        <v>110</v>
      </c>
      <c r="B6" s="1"/>
    </row>
    <row r="8" spans="1:2" x14ac:dyDescent="0.25">
      <c r="A8" s="1" t="s">
        <v>11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7</v>
      </c>
    </row>
    <row r="13" spans="1:2" x14ac:dyDescent="0.25">
      <c r="A13" s="1" t="s">
        <v>12</v>
      </c>
    </row>
    <row r="14" spans="1:2" x14ac:dyDescent="0.25">
      <c r="A14" t="s">
        <v>8</v>
      </c>
    </row>
    <row r="15" spans="1:2" x14ac:dyDescent="0.25">
      <c r="A15" t="s">
        <v>9</v>
      </c>
    </row>
    <row r="17" spans="1:2" x14ac:dyDescent="0.25">
      <c r="A17" s="1" t="s">
        <v>13</v>
      </c>
    </row>
    <row r="18" spans="1:2" x14ac:dyDescent="0.25">
      <c r="A18" t="s">
        <v>14</v>
      </c>
    </row>
    <row r="19" spans="1:2" x14ac:dyDescent="0.25">
      <c r="A19" t="s">
        <v>10</v>
      </c>
    </row>
    <row r="25" spans="1:2" x14ac:dyDescent="0.25">
      <c r="A25" s="1" t="s">
        <v>86</v>
      </c>
    </row>
    <row r="26" spans="1:2" x14ac:dyDescent="0.25">
      <c r="A26" t="s">
        <v>88</v>
      </c>
      <c r="B26" t="s">
        <v>87</v>
      </c>
    </row>
    <row r="27" spans="1:2" x14ac:dyDescent="0.25">
      <c r="A27" t="s">
        <v>100</v>
      </c>
    </row>
    <row r="28" spans="1:2" x14ac:dyDescent="0.25">
      <c r="A28" t="s">
        <v>106</v>
      </c>
      <c r="B28" t="s">
        <v>107</v>
      </c>
    </row>
    <row r="29" spans="1:2" x14ac:dyDescent="0.25">
      <c r="A29" t="s">
        <v>106</v>
      </c>
      <c r="B29" t="s">
        <v>111</v>
      </c>
    </row>
    <row r="30" spans="1:2" x14ac:dyDescent="0.25">
      <c r="A30" t="s">
        <v>126</v>
      </c>
      <c r="B30" t="s">
        <v>125</v>
      </c>
    </row>
    <row r="31" spans="1:2" x14ac:dyDescent="0.25">
      <c r="A31" t="s">
        <v>126</v>
      </c>
      <c r="B31" t="s">
        <v>127</v>
      </c>
    </row>
  </sheetData>
  <phoneticPr fontId="0" type="noConversion"/>
  <pageMargins left="0.75" right="0.75" top="1" bottom="1" header="0.5" footer="0.5"/>
  <pageSetup paperSize="9" orientation="portrait" horizontalDpi="800" verticalDpi="8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16"/>
  <sheetViews>
    <sheetView workbookViewId="0">
      <selection activeCell="G171" sqref="G171"/>
    </sheetView>
  </sheetViews>
  <sheetFormatPr defaultRowHeight="13.2" x14ac:dyDescent="0.25"/>
  <cols>
    <col min="1" max="1" width="15.33203125" customWidth="1"/>
    <col min="7" max="7" width="10.109375" bestFit="1" customWidth="1"/>
    <col min="11" max="17" width="10.6640625" customWidth="1"/>
  </cols>
  <sheetData>
    <row r="1" spans="1:17" x14ac:dyDescent="0.25">
      <c r="A1" t="s">
        <v>75</v>
      </c>
    </row>
    <row r="3" spans="1:17" x14ac:dyDescent="0.25">
      <c r="A3" t="s">
        <v>47</v>
      </c>
      <c r="B3" s="9">
        <v>0.01</v>
      </c>
      <c r="C3" s="9">
        <v>0.1</v>
      </c>
      <c r="D3" s="9">
        <v>10</v>
      </c>
      <c r="E3" s="9">
        <v>12.58925411794168</v>
      </c>
      <c r="F3" s="9">
        <v>19.952623149688804</v>
      </c>
      <c r="G3" s="9"/>
      <c r="H3" s="9"/>
    </row>
    <row r="4" spans="1:17" x14ac:dyDescent="0.25">
      <c r="A4" t="s">
        <v>72</v>
      </c>
      <c r="B4" s="9">
        <v>0.01</v>
      </c>
      <c r="C4" s="9">
        <v>0.01</v>
      </c>
      <c r="D4" s="9">
        <v>0.01</v>
      </c>
      <c r="E4" s="9">
        <v>50.118723362727323</v>
      </c>
      <c r="F4" s="9">
        <v>50.118723362727323</v>
      </c>
      <c r="G4" s="9"/>
      <c r="H4" s="9"/>
    </row>
    <row r="5" spans="1:17" x14ac:dyDescent="0.25">
      <c r="A5" t="s">
        <v>48</v>
      </c>
      <c r="B5" s="9">
        <v>1E-3</v>
      </c>
      <c r="C5" s="9">
        <v>3.9810717055349725E-3</v>
      </c>
      <c r="D5" s="9">
        <v>3.9810717055349755E-2</v>
      </c>
      <c r="E5" s="9">
        <v>1.5848931924611156</v>
      </c>
      <c r="F5" s="9">
        <v>1.5848931924611156</v>
      </c>
      <c r="G5" s="9"/>
      <c r="H5" s="9"/>
    </row>
    <row r="6" spans="1:17" x14ac:dyDescent="0.25">
      <c r="A6" t="s">
        <v>55</v>
      </c>
      <c r="B6" s="9">
        <v>1.0700000000000001E-2</v>
      </c>
      <c r="C6" s="9">
        <v>1.7000000000000001E-2</v>
      </c>
      <c r="D6" s="9">
        <v>0.71</v>
      </c>
      <c r="E6" s="9">
        <v>50.999971150983242</v>
      </c>
      <c r="F6" s="9">
        <v>51.515406983205537</v>
      </c>
      <c r="G6" s="9"/>
      <c r="H6" s="9"/>
    </row>
    <row r="7" spans="1:17" x14ac:dyDescent="0.25">
      <c r="A7" t="s">
        <v>20</v>
      </c>
    </row>
    <row r="8" spans="1:17" x14ac:dyDescent="0.25">
      <c r="A8" t="s">
        <v>22</v>
      </c>
    </row>
    <row r="9" spans="1:17" x14ac:dyDescent="0.25">
      <c r="A9" t="s">
        <v>23</v>
      </c>
    </row>
    <row r="10" spans="1:17" x14ac:dyDescent="0.25">
      <c r="A10" t="s">
        <v>56</v>
      </c>
    </row>
    <row r="11" spans="1:17" x14ac:dyDescent="0.25">
      <c r="A11" t="s">
        <v>27</v>
      </c>
      <c r="M11" t="s">
        <v>99</v>
      </c>
    </row>
    <row r="12" spans="1:17" x14ac:dyDescent="0.25">
      <c r="A12" t="s">
        <v>85</v>
      </c>
      <c r="K12" s="1" t="s">
        <v>90</v>
      </c>
      <c r="M12" t="s">
        <v>92</v>
      </c>
    </row>
    <row r="13" spans="1:17" x14ac:dyDescent="0.25">
      <c r="J13" s="2" t="s">
        <v>91</v>
      </c>
      <c r="K13" s="29" t="b">
        <v>0</v>
      </c>
      <c r="L13" s="29" t="b">
        <v>0</v>
      </c>
      <c r="M13" t="b">
        <f>L13</f>
        <v>0</v>
      </c>
      <c r="N13" t="b">
        <f>L13</f>
        <v>0</v>
      </c>
      <c r="O13" t="b">
        <f>L13</f>
        <v>0</v>
      </c>
      <c r="P13" s="29" t="b">
        <v>0</v>
      </c>
      <c r="Q13" t="b">
        <f>P13</f>
        <v>0</v>
      </c>
    </row>
    <row r="14" spans="1:17" x14ac:dyDescent="0.25">
      <c r="B14" t="s">
        <v>78</v>
      </c>
      <c r="C14" t="s">
        <v>79</v>
      </c>
      <c r="D14" t="s">
        <v>80</v>
      </c>
      <c r="E14" t="s">
        <v>81</v>
      </c>
      <c r="F14" t="s">
        <v>82</v>
      </c>
      <c r="G14" t="s">
        <v>83</v>
      </c>
      <c r="H14" t="s">
        <v>84</v>
      </c>
      <c r="K14" t="s">
        <v>78</v>
      </c>
      <c r="L14" t="s">
        <v>79</v>
      </c>
      <c r="M14" t="s">
        <v>80</v>
      </c>
      <c r="N14" t="s">
        <v>81</v>
      </c>
      <c r="O14" t="s">
        <v>82</v>
      </c>
      <c r="P14" t="s">
        <v>83</v>
      </c>
      <c r="Q14" t="s">
        <v>84</v>
      </c>
    </row>
    <row r="15" spans="1:17" x14ac:dyDescent="0.25">
      <c r="A15" t="s">
        <v>0</v>
      </c>
      <c r="B15" s="1" t="s">
        <v>67</v>
      </c>
      <c r="C15" s="1" t="s">
        <v>67</v>
      </c>
      <c r="D15" s="1" t="s">
        <v>67</v>
      </c>
      <c r="E15" s="1" t="s">
        <v>67</v>
      </c>
      <c r="F15" s="1" t="s">
        <v>67</v>
      </c>
      <c r="G15" s="27" t="s">
        <v>67</v>
      </c>
      <c r="H15" s="27" t="s">
        <v>67</v>
      </c>
      <c r="I15" s="1"/>
      <c r="K15" s="1" t="s">
        <v>67</v>
      </c>
      <c r="L15" s="1" t="s">
        <v>67</v>
      </c>
      <c r="M15" s="1" t="s">
        <v>67</v>
      </c>
      <c r="N15" s="1" t="s">
        <v>67</v>
      </c>
      <c r="O15" s="1" t="s">
        <v>67</v>
      </c>
      <c r="P15" s="1" t="s">
        <v>67</v>
      </c>
      <c r="Q15" s="1" t="s">
        <v>67</v>
      </c>
    </row>
    <row r="16" spans="1:17" x14ac:dyDescent="0.25">
      <c r="A16" s="1">
        <v>400</v>
      </c>
      <c r="B16" s="25">
        <v>2.0557522089909252E-2</v>
      </c>
      <c r="C16" s="25">
        <v>1.3052877797595633E-2</v>
      </c>
      <c r="D16" s="25">
        <v>4.1870506401089375E-3</v>
      </c>
      <c r="E16" s="25">
        <v>4.8052682827410395E-3</v>
      </c>
      <c r="F16" s="25">
        <v>4.7916778305466231E-3</v>
      </c>
      <c r="G16" s="25">
        <v>-99</v>
      </c>
      <c r="H16" s="28"/>
      <c r="I16" s="12"/>
      <c r="K16" s="25">
        <f>IF(K$13,B16,-99)</f>
        <v>-99</v>
      </c>
      <c r="L16" s="25">
        <f t="shared" ref="L16:L79" si="0">IF(L$13,C16,-99)</f>
        <v>-99</v>
      </c>
      <c r="M16" s="25">
        <f t="shared" ref="M16:M79" si="1">IF(M$13,D16,-99)</f>
        <v>-99</v>
      </c>
      <c r="N16" s="25">
        <f t="shared" ref="N16:N79" si="2">IF(N$13,E16,-99)</f>
        <v>-99</v>
      </c>
      <c r="O16" s="25">
        <f t="shared" ref="O16:O79" si="3">IF(O$13,F16,-99)</f>
        <v>-99</v>
      </c>
      <c r="P16" s="25">
        <f t="shared" ref="P16:P79" si="4">IF(P$13,G16,-99)</f>
        <v>-99</v>
      </c>
      <c r="Q16" s="25">
        <f t="shared" ref="Q16:Q79" si="5">IF(Q$13,H16,-99)</f>
        <v>-99</v>
      </c>
    </row>
    <row r="17" spans="1:17" x14ac:dyDescent="0.25">
      <c r="A17" s="1">
        <v>402</v>
      </c>
      <c r="B17" s="25">
        <v>2.021682330858485E-2</v>
      </c>
      <c r="C17" s="25">
        <v>1.2901684348219774E-2</v>
      </c>
      <c r="D17" s="25">
        <v>4.1375530665828412E-3</v>
      </c>
      <c r="E17" s="25">
        <v>4.9325415643831196E-3</v>
      </c>
      <c r="F17" s="25">
        <v>4.9159914635835463E-3</v>
      </c>
      <c r="G17" s="25">
        <v>-99</v>
      </c>
      <c r="H17" s="28"/>
      <c r="I17" s="12"/>
      <c r="K17" s="25">
        <f t="shared" ref="K17:K80" si="6">IF(K$13,B17,-99)</f>
        <v>-99</v>
      </c>
      <c r="L17" s="25">
        <f t="shared" si="0"/>
        <v>-99</v>
      </c>
      <c r="M17" s="25">
        <f t="shared" si="1"/>
        <v>-99</v>
      </c>
      <c r="N17" s="25">
        <f t="shared" si="2"/>
        <v>-99</v>
      </c>
      <c r="O17" s="25">
        <f t="shared" si="3"/>
        <v>-99</v>
      </c>
      <c r="P17" s="25">
        <f t="shared" si="4"/>
        <v>-99</v>
      </c>
      <c r="Q17" s="25">
        <f t="shared" si="5"/>
        <v>-99</v>
      </c>
    </row>
    <row r="18" spans="1:17" x14ac:dyDescent="0.25">
      <c r="A18" s="1">
        <v>404</v>
      </c>
      <c r="B18" s="25">
        <v>1.9713310252557233E-2</v>
      </c>
      <c r="C18" s="25">
        <v>1.2673698826675631E-2</v>
      </c>
      <c r="D18" s="25">
        <v>4.0880523451239797E-3</v>
      </c>
      <c r="E18" s="25">
        <v>5.0625849562300346E-3</v>
      </c>
      <c r="F18" s="25">
        <v>5.0430405394237248E-3</v>
      </c>
      <c r="G18" s="25">
        <v>-99</v>
      </c>
      <c r="H18" s="28"/>
      <c r="I18" s="12"/>
      <c r="K18" s="25">
        <f t="shared" si="6"/>
        <v>-99</v>
      </c>
      <c r="L18" s="25">
        <f t="shared" si="0"/>
        <v>-99</v>
      </c>
      <c r="M18" s="25">
        <f t="shared" si="1"/>
        <v>-99</v>
      </c>
      <c r="N18" s="25">
        <f t="shared" si="2"/>
        <v>-99</v>
      </c>
      <c r="O18" s="25">
        <f t="shared" si="3"/>
        <v>-99</v>
      </c>
      <c r="P18" s="25">
        <f t="shared" si="4"/>
        <v>-99</v>
      </c>
      <c r="Q18" s="25">
        <f t="shared" si="5"/>
        <v>-99</v>
      </c>
    </row>
    <row r="19" spans="1:17" x14ac:dyDescent="0.25">
      <c r="A19" s="1">
        <v>406</v>
      </c>
      <c r="B19" s="25">
        <v>1.9226423215939505E-2</v>
      </c>
      <c r="C19" s="25">
        <v>1.2448154857513249E-2</v>
      </c>
      <c r="D19" s="25">
        <v>4.0187671276977737E-3</v>
      </c>
      <c r="E19" s="25">
        <v>5.1942249870638047E-3</v>
      </c>
      <c r="F19" s="25">
        <v>5.1708728283776234E-3</v>
      </c>
      <c r="G19" s="25">
        <v>-99</v>
      </c>
      <c r="H19" s="28"/>
      <c r="I19" s="12"/>
      <c r="K19" s="25">
        <f t="shared" si="6"/>
        <v>-99</v>
      </c>
      <c r="L19" s="25">
        <f t="shared" si="0"/>
        <v>-99</v>
      </c>
      <c r="M19" s="25">
        <f t="shared" si="1"/>
        <v>-99</v>
      </c>
      <c r="N19" s="25">
        <f t="shared" si="2"/>
        <v>-99</v>
      </c>
      <c r="O19" s="25">
        <f t="shared" si="3"/>
        <v>-99</v>
      </c>
      <c r="P19" s="25">
        <f t="shared" si="4"/>
        <v>-99</v>
      </c>
      <c r="Q19" s="25">
        <f t="shared" si="5"/>
        <v>-99</v>
      </c>
    </row>
    <row r="20" spans="1:17" x14ac:dyDescent="0.25">
      <c r="A20" s="1">
        <v>408</v>
      </c>
      <c r="B20" s="25">
        <v>1.8729705913835205E-2</v>
      </c>
      <c r="C20" s="25">
        <v>1.2200321716917931E-2</v>
      </c>
      <c r="D20" s="25">
        <v>3.9528732914696748E-3</v>
      </c>
      <c r="E20" s="25">
        <v>5.3286983914684382E-3</v>
      </c>
      <c r="F20" s="25">
        <v>5.3014903465291316E-3</v>
      </c>
      <c r="G20" s="25">
        <v>-99</v>
      </c>
      <c r="H20" s="28"/>
      <c r="I20" s="12"/>
      <c r="K20" s="25">
        <f t="shared" si="6"/>
        <v>-99</v>
      </c>
      <c r="L20" s="25">
        <f t="shared" si="0"/>
        <v>-99</v>
      </c>
      <c r="M20" s="25">
        <f t="shared" si="1"/>
        <v>-99</v>
      </c>
      <c r="N20" s="25">
        <f t="shared" si="2"/>
        <v>-99</v>
      </c>
      <c r="O20" s="25">
        <f t="shared" si="3"/>
        <v>-99</v>
      </c>
      <c r="P20" s="25">
        <f t="shared" si="4"/>
        <v>-99</v>
      </c>
      <c r="Q20" s="25">
        <f t="shared" si="5"/>
        <v>-99</v>
      </c>
    </row>
    <row r="21" spans="1:17" x14ac:dyDescent="0.25">
      <c r="A21" s="1">
        <v>410</v>
      </c>
      <c r="B21" s="25">
        <v>1.8237408217689773E-2</v>
      </c>
      <c r="C21" s="25">
        <v>1.1943922148901828E-2</v>
      </c>
      <c r="D21" s="25">
        <v>3.8800248561079958E-3</v>
      </c>
      <c r="E21" s="25">
        <v>5.4653302884569944E-3</v>
      </c>
      <c r="F21" s="25">
        <v>5.4337966890464461E-3</v>
      </c>
      <c r="G21" s="25">
        <v>-99</v>
      </c>
      <c r="H21" s="28"/>
      <c r="I21" s="12"/>
      <c r="K21" s="25">
        <f t="shared" si="6"/>
        <v>-99</v>
      </c>
      <c r="L21" s="25">
        <f t="shared" si="0"/>
        <v>-99</v>
      </c>
      <c r="M21" s="25">
        <f t="shared" si="1"/>
        <v>-99</v>
      </c>
      <c r="N21" s="25">
        <f t="shared" si="2"/>
        <v>-99</v>
      </c>
      <c r="O21" s="25">
        <f t="shared" si="3"/>
        <v>-99</v>
      </c>
      <c r="P21" s="25">
        <f t="shared" si="4"/>
        <v>-99</v>
      </c>
      <c r="Q21" s="25">
        <f t="shared" si="5"/>
        <v>-99</v>
      </c>
    </row>
    <row r="22" spans="1:17" x14ac:dyDescent="0.25">
      <c r="A22" s="1">
        <v>412</v>
      </c>
      <c r="B22" s="25">
        <v>1.775023543459903E-2</v>
      </c>
      <c r="C22" s="25">
        <v>1.1693646724040014E-2</v>
      </c>
      <c r="D22" s="25">
        <v>3.8354650478769721E-3</v>
      </c>
      <c r="E22" s="25">
        <v>5.6065147226877811E-3</v>
      </c>
      <c r="F22" s="25">
        <v>5.5712592401370815E-3</v>
      </c>
      <c r="G22" s="25">
        <v>5.5712592401370815E-3</v>
      </c>
      <c r="H22" s="28"/>
      <c r="I22" s="12"/>
      <c r="K22" s="25">
        <f t="shared" si="6"/>
        <v>-99</v>
      </c>
      <c r="L22" s="25">
        <f t="shared" si="0"/>
        <v>-99</v>
      </c>
      <c r="M22" s="25">
        <f t="shared" si="1"/>
        <v>-99</v>
      </c>
      <c r="N22" s="25">
        <f t="shared" si="2"/>
        <v>-99</v>
      </c>
      <c r="O22" s="25">
        <f t="shared" si="3"/>
        <v>-99</v>
      </c>
      <c r="P22" s="25">
        <f t="shared" si="4"/>
        <v>-99</v>
      </c>
      <c r="Q22" s="25">
        <f t="shared" si="5"/>
        <v>-99</v>
      </c>
    </row>
    <row r="23" spans="1:17" x14ac:dyDescent="0.25">
      <c r="A23" s="1">
        <v>414</v>
      </c>
      <c r="B23" s="25">
        <v>1.713718308675248E-2</v>
      </c>
      <c r="C23" s="25">
        <v>1.1384847978425072E-2</v>
      </c>
      <c r="D23" s="25">
        <v>3.8016805359518198E-3</v>
      </c>
      <c r="E23" s="25">
        <v>5.7514065257778047E-3</v>
      </c>
      <c r="F23" s="25">
        <v>5.7127753719853035E-3</v>
      </c>
      <c r="G23" s="25">
        <v>-99</v>
      </c>
      <c r="H23" s="28"/>
      <c r="I23" s="12"/>
      <c r="K23" s="25">
        <f t="shared" si="6"/>
        <v>-99</v>
      </c>
      <c r="L23" s="25">
        <f t="shared" si="0"/>
        <v>-99</v>
      </c>
      <c r="M23" s="25">
        <f t="shared" si="1"/>
        <v>-99</v>
      </c>
      <c r="N23" s="25">
        <f t="shared" si="2"/>
        <v>-99</v>
      </c>
      <c r="O23" s="25">
        <f t="shared" si="3"/>
        <v>-99</v>
      </c>
      <c r="P23" s="25">
        <f t="shared" si="4"/>
        <v>-99</v>
      </c>
      <c r="Q23" s="25">
        <f t="shared" si="5"/>
        <v>-99</v>
      </c>
    </row>
    <row r="24" spans="1:17" x14ac:dyDescent="0.25">
      <c r="A24" s="1">
        <v>416</v>
      </c>
      <c r="B24" s="25">
        <v>1.6684370637434706E-2</v>
      </c>
      <c r="C24" s="25">
        <v>1.1153177661023059E-2</v>
      </c>
      <c r="D24" s="25">
        <v>3.7602024195095216E-3</v>
      </c>
      <c r="E24" s="25">
        <v>5.8984934505339421E-3</v>
      </c>
      <c r="F24" s="25">
        <v>5.8556367381061942E-3</v>
      </c>
      <c r="G24" s="25">
        <v>-99</v>
      </c>
      <c r="H24" s="28"/>
      <c r="I24" s="12"/>
      <c r="K24" s="25">
        <f t="shared" si="6"/>
        <v>-99</v>
      </c>
      <c r="L24" s="25">
        <f t="shared" si="0"/>
        <v>-99</v>
      </c>
      <c r="M24" s="25">
        <f t="shared" si="1"/>
        <v>-99</v>
      </c>
      <c r="N24" s="25">
        <f t="shared" si="2"/>
        <v>-99</v>
      </c>
      <c r="O24" s="25">
        <f t="shared" si="3"/>
        <v>-99</v>
      </c>
      <c r="P24" s="25">
        <f t="shared" si="4"/>
        <v>-99</v>
      </c>
      <c r="Q24" s="25">
        <f t="shared" si="5"/>
        <v>-99</v>
      </c>
    </row>
    <row r="25" spans="1:17" x14ac:dyDescent="0.25">
      <c r="A25" s="1">
        <v>418</v>
      </c>
      <c r="B25" s="25">
        <v>1.6242645861194612E-2</v>
      </c>
      <c r="C25" s="25">
        <v>1.0933012376437141E-2</v>
      </c>
      <c r="D25" s="25">
        <v>3.7393504677503751E-3</v>
      </c>
      <c r="E25" s="25">
        <v>6.0502065592420041E-3</v>
      </c>
      <c r="F25" s="25">
        <v>6.0036091205078971E-3</v>
      </c>
      <c r="G25" s="25">
        <v>-99</v>
      </c>
      <c r="H25" s="28"/>
      <c r="I25" s="12"/>
      <c r="K25" s="25">
        <f t="shared" si="6"/>
        <v>-99</v>
      </c>
      <c r="L25" s="25">
        <f t="shared" si="0"/>
        <v>-99</v>
      </c>
      <c r="M25" s="25">
        <f t="shared" si="1"/>
        <v>-99</v>
      </c>
      <c r="N25" s="25">
        <f t="shared" si="2"/>
        <v>-99</v>
      </c>
      <c r="O25" s="25">
        <f t="shared" si="3"/>
        <v>-99</v>
      </c>
      <c r="P25" s="25">
        <f t="shared" si="4"/>
        <v>-99</v>
      </c>
      <c r="Q25" s="25">
        <f t="shared" si="5"/>
        <v>-99</v>
      </c>
    </row>
    <row r="26" spans="1:17" x14ac:dyDescent="0.25">
      <c r="A26" s="1">
        <v>420</v>
      </c>
      <c r="B26" s="25">
        <v>1.5702515780260717E-2</v>
      </c>
      <c r="C26" s="25">
        <v>1.0671639571553815E-2</v>
      </c>
      <c r="D26" s="25">
        <v>3.7170046768421326E-3</v>
      </c>
      <c r="E26" s="25">
        <v>6.2049016905511394E-3</v>
      </c>
      <c r="F26" s="25">
        <v>6.1543664804359988E-3</v>
      </c>
      <c r="G26" s="25">
        <v>-99</v>
      </c>
      <c r="H26" s="28"/>
      <c r="I26" s="12"/>
      <c r="K26" s="25">
        <f t="shared" si="6"/>
        <v>-99</v>
      </c>
      <c r="L26" s="25">
        <f t="shared" si="0"/>
        <v>-99</v>
      </c>
      <c r="M26" s="25">
        <f t="shared" si="1"/>
        <v>-99</v>
      </c>
      <c r="N26" s="25">
        <f t="shared" si="2"/>
        <v>-99</v>
      </c>
      <c r="O26" s="25">
        <f t="shared" si="3"/>
        <v>-99</v>
      </c>
      <c r="P26" s="25">
        <f t="shared" si="4"/>
        <v>-99</v>
      </c>
      <c r="Q26" s="25">
        <f t="shared" si="5"/>
        <v>-99</v>
      </c>
    </row>
    <row r="27" spans="1:17" x14ac:dyDescent="0.25">
      <c r="A27" s="1">
        <v>422</v>
      </c>
      <c r="B27" s="25">
        <v>1.5169512359408836E-2</v>
      </c>
      <c r="C27" s="25">
        <v>1.0419363808666348E-2</v>
      </c>
      <c r="D27" s="25">
        <v>3.7467653995442458E-3</v>
      </c>
      <c r="E27" s="25">
        <v>6.3676837016723867E-3</v>
      </c>
      <c r="F27" s="25">
        <v>6.3153164220560642E-3</v>
      </c>
      <c r="G27" s="25">
        <v>-99</v>
      </c>
      <c r="H27" s="28"/>
      <c r="I27" s="12"/>
      <c r="K27" s="25">
        <f t="shared" si="6"/>
        <v>-99</v>
      </c>
      <c r="L27" s="25">
        <f t="shared" si="0"/>
        <v>-99</v>
      </c>
      <c r="M27" s="25">
        <f t="shared" si="1"/>
        <v>-99</v>
      </c>
      <c r="N27" s="25">
        <f t="shared" si="2"/>
        <v>-99</v>
      </c>
      <c r="O27" s="25">
        <f t="shared" si="3"/>
        <v>-99</v>
      </c>
      <c r="P27" s="25">
        <f t="shared" si="4"/>
        <v>-99</v>
      </c>
      <c r="Q27" s="25">
        <f t="shared" si="5"/>
        <v>-99</v>
      </c>
    </row>
    <row r="28" spans="1:17" x14ac:dyDescent="0.25">
      <c r="A28" s="1">
        <v>424</v>
      </c>
      <c r="B28" s="25">
        <v>1.4751212295404274E-2</v>
      </c>
      <c r="C28" s="25">
        <v>1.0209459808223001E-2</v>
      </c>
      <c r="D28" s="25">
        <v>3.7781185815202929E-3</v>
      </c>
      <c r="E28" s="25">
        <v>6.53416442878449E-3</v>
      </c>
      <c r="F28" s="25">
        <v>6.4799273158306662E-3</v>
      </c>
      <c r="G28" s="25">
        <v>-99</v>
      </c>
      <c r="H28" s="28"/>
      <c r="I28" s="12"/>
      <c r="K28" s="25">
        <f t="shared" si="6"/>
        <v>-99</v>
      </c>
      <c r="L28" s="25">
        <f t="shared" si="0"/>
        <v>-99</v>
      </c>
      <c r="M28" s="25">
        <f t="shared" si="1"/>
        <v>-99</v>
      </c>
      <c r="N28" s="25">
        <f t="shared" si="2"/>
        <v>-99</v>
      </c>
      <c r="O28" s="25">
        <f t="shared" si="3"/>
        <v>-99</v>
      </c>
      <c r="P28" s="25">
        <f t="shared" si="4"/>
        <v>-99</v>
      </c>
      <c r="Q28" s="25">
        <f t="shared" si="5"/>
        <v>-99</v>
      </c>
    </row>
    <row r="29" spans="1:17" x14ac:dyDescent="0.25">
      <c r="A29" s="1">
        <v>426</v>
      </c>
      <c r="B29" s="25">
        <v>1.4259101535304632E-2</v>
      </c>
      <c r="C29" s="25">
        <v>9.9569336580766186E-3</v>
      </c>
      <c r="D29" s="25">
        <v>3.75514005088598E-3</v>
      </c>
      <c r="E29" s="25">
        <v>6.6987850533276961E-3</v>
      </c>
      <c r="F29" s="25">
        <v>6.6402007468234344E-3</v>
      </c>
      <c r="G29" s="25">
        <v>-99</v>
      </c>
      <c r="H29" s="28"/>
      <c r="I29" s="12"/>
      <c r="K29" s="25">
        <f t="shared" si="6"/>
        <v>-99</v>
      </c>
      <c r="L29" s="25">
        <f t="shared" si="0"/>
        <v>-99</v>
      </c>
      <c r="M29" s="25">
        <f t="shared" si="1"/>
        <v>-99</v>
      </c>
      <c r="N29" s="25">
        <f t="shared" si="2"/>
        <v>-99</v>
      </c>
      <c r="O29" s="25">
        <f t="shared" si="3"/>
        <v>-99</v>
      </c>
      <c r="P29" s="25">
        <f t="shared" si="4"/>
        <v>-99</v>
      </c>
      <c r="Q29" s="25">
        <f t="shared" si="5"/>
        <v>-99</v>
      </c>
    </row>
    <row r="30" spans="1:17" x14ac:dyDescent="0.25">
      <c r="A30" s="1">
        <v>428</v>
      </c>
      <c r="B30" s="25">
        <v>1.3886799242083267E-2</v>
      </c>
      <c r="C30" s="25">
        <v>9.7593707135188359E-3</v>
      </c>
      <c r="D30" s="25">
        <v>3.7215317076551378E-3</v>
      </c>
      <c r="E30" s="25">
        <v>6.8653302580602878E-3</v>
      </c>
      <c r="F30" s="25">
        <v>6.8013714229492109E-3</v>
      </c>
      <c r="G30" s="25">
        <v>-99</v>
      </c>
      <c r="H30" s="28"/>
      <c r="I30" s="12"/>
      <c r="K30" s="25">
        <f t="shared" si="6"/>
        <v>-99</v>
      </c>
      <c r="L30" s="25">
        <f t="shared" si="0"/>
        <v>-99</v>
      </c>
      <c r="M30" s="25">
        <f t="shared" si="1"/>
        <v>-99</v>
      </c>
      <c r="N30" s="25">
        <f t="shared" si="2"/>
        <v>-99</v>
      </c>
      <c r="O30" s="25">
        <f t="shared" si="3"/>
        <v>-99</v>
      </c>
      <c r="P30" s="25">
        <f t="shared" si="4"/>
        <v>-99</v>
      </c>
      <c r="Q30" s="25">
        <f t="shared" si="5"/>
        <v>-99</v>
      </c>
    </row>
    <row r="31" spans="1:17" x14ac:dyDescent="0.25">
      <c r="A31" s="1">
        <v>430</v>
      </c>
      <c r="B31" s="25">
        <v>1.3451992780199965E-2</v>
      </c>
      <c r="C31" s="25">
        <v>9.5316015244171926E-3</v>
      </c>
      <c r="D31" s="25">
        <v>3.6417980237605082E-3</v>
      </c>
      <c r="E31" s="25">
        <v>7.0294598087987234E-3</v>
      </c>
      <c r="F31" s="25">
        <v>6.9573004620697683E-3</v>
      </c>
      <c r="G31" s="25">
        <v>-99</v>
      </c>
      <c r="H31" s="28"/>
      <c r="I31" s="12"/>
      <c r="K31" s="25">
        <f t="shared" si="6"/>
        <v>-99</v>
      </c>
      <c r="L31" s="25">
        <f t="shared" si="0"/>
        <v>-99</v>
      </c>
      <c r="M31" s="25">
        <f t="shared" si="1"/>
        <v>-99</v>
      </c>
      <c r="N31" s="25">
        <f t="shared" si="2"/>
        <v>-99</v>
      </c>
      <c r="O31" s="25">
        <f t="shared" si="3"/>
        <v>-99</v>
      </c>
      <c r="P31" s="25">
        <f t="shared" si="4"/>
        <v>-99</v>
      </c>
      <c r="Q31" s="25">
        <f t="shared" si="5"/>
        <v>-99</v>
      </c>
    </row>
    <row r="32" spans="1:17" x14ac:dyDescent="0.25">
      <c r="A32" s="1">
        <v>432</v>
      </c>
      <c r="B32" s="25">
        <v>1.3088184939397835E-2</v>
      </c>
      <c r="C32" s="25">
        <v>9.3345197536170536E-3</v>
      </c>
      <c r="D32" s="25">
        <v>3.6400230235022271E-3</v>
      </c>
      <c r="E32" s="25">
        <v>7.2057932163438615E-3</v>
      </c>
      <c r="F32" s="25">
        <v>7.1293910392437572E-3</v>
      </c>
      <c r="G32" s="25">
        <v>-99</v>
      </c>
      <c r="H32" s="28"/>
      <c r="I32" s="12"/>
      <c r="K32" s="25">
        <f t="shared" si="6"/>
        <v>-99</v>
      </c>
      <c r="L32" s="25">
        <f t="shared" si="0"/>
        <v>-99</v>
      </c>
      <c r="M32" s="25">
        <f t="shared" si="1"/>
        <v>-99</v>
      </c>
      <c r="N32" s="25">
        <f t="shared" si="2"/>
        <v>-99</v>
      </c>
      <c r="O32" s="25">
        <f t="shared" si="3"/>
        <v>-99</v>
      </c>
      <c r="P32" s="25">
        <f t="shared" si="4"/>
        <v>-99</v>
      </c>
      <c r="Q32" s="25">
        <f t="shared" si="5"/>
        <v>-99</v>
      </c>
    </row>
    <row r="33" spans="1:17" x14ac:dyDescent="0.25">
      <c r="A33" s="1">
        <v>434</v>
      </c>
      <c r="B33" s="25">
        <v>1.2644308425471163E-2</v>
      </c>
      <c r="C33" s="25">
        <v>9.099254112496357E-3</v>
      </c>
      <c r="D33" s="25">
        <v>3.6556388487726708E-3</v>
      </c>
      <c r="E33" s="25">
        <v>7.3879369999222009E-3</v>
      </c>
      <c r="F33" s="25">
        <v>7.3083571770059166E-3</v>
      </c>
      <c r="G33" s="25">
        <v>-99</v>
      </c>
      <c r="H33" s="28"/>
      <c r="I33" s="12"/>
      <c r="K33" s="25">
        <f t="shared" si="6"/>
        <v>-99</v>
      </c>
      <c r="L33" s="25">
        <f t="shared" si="0"/>
        <v>-99</v>
      </c>
      <c r="M33" s="25">
        <f t="shared" si="1"/>
        <v>-99</v>
      </c>
      <c r="N33" s="25">
        <f t="shared" si="2"/>
        <v>-99</v>
      </c>
      <c r="O33" s="25">
        <f t="shared" si="3"/>
        <v>-99</v>
      </c>
      <c r="P33" s="25">
        <f t="shared" si="4"/>
        <v>-99</v>
      </c>
      <c r="Q33" s="25">
        <f t="shared" si="5"/>
        <v>-99</v>
      </c>
    </row>
    <row r="34" spans="1:17" x14ac:dyDescent="0.25">
      <c r="A34" s="1">
        <v>436</v>
      </c>
      <c r="B34" s="25">
        <v>1.2304125713073462E-2</v>
      </c>
      <c r="C34" s="25">
        <v>8.9142696933194685E-3</v>
      </c>
      <c r="D34" s="25">
        <v>3.6603507407311203E-3</v>
      </c>
      <c r="E34" s="25">
        <v>7.57217573088437E-3</v>
      </c>
      <c r="F34" s="25">
        <v>7.4883467311117049E-3</v>
      </c>
      <c r="G34" s="25">
        <v>-99</v>
      </c>
      <c r="H34" s="28"/>
      <c r="I34" s="12"/>
      <c r="K34" s="25">
        <f t="shared" si="6"/>
        <v>-99</v>
      </c>
      <c r="L34" s="25">
        <f t="shared" si="0"/>
        <v>-99</v>
      </c>
      <c r="M34" s="25">
        <f t="shared" si="1"/>
        <v>-99</v>
      </c>
      <c r="N34" s="25">
        <f t="shared" si="2"/>
        <v>-99</v>
      </c>
      <c r="O34" s="25">
        <f t="shared" si="3"/>
        <v>-99</v>
      </c>
      <c r="P34" s="25">
        <f t="shared" si="4"/>
        <v>-99</v>
      </c>
      <c r="Q34" s="25">
        <f t="shared" si="5"/>
        <v>-99</v>
      </c>
    </row>
    <row r="35" spans="1:17" x14ac:dyDescent="0.25">
      <c r="A35" s="1">
        <v>438</v>
      </c>
      <c r="B35" s="25">
        <v>1.1906076932021706E-2</v>
      </c>
      <c r="C35" s="25">
        <v>8.7129135860127289E-3</v>
      </c>
      <c r="D35" s="25">
        <v>3.676871096469156E-3</v>
      </c>
      <c r="E35" s="25">
        <v>7.761622469768195E-3</v>
      </c>
      <c r="F35" s="25">
        <v>7.6739724807202573E-3</v>
      </c>
      <c r="G35" s="25">
        <v>-99</v>
      </c>
      <c r="H35" s="28"/>
      <c r="I35" s="12"/>
      <c r="K35" s="25">
        <f t="shared" si="6"/>
        <v>-99</v>
      </c>
      <c r="L35" s="25">
        <f t="shared" si="0"/>
        <v>-99</v>
      </c>
      <c r="M35" s="25">
        <f t="shared" si="1"/>
        <v>-99</v>
      </c>
      <c r="N35" s="25">
        <f t="shared" si="2"/>
        <v>-99</v>
      </c>
      <c r="O35" s="25">
        <f t="shared" si="3"/>
        <v>-99</v>
      </c>
      <c r="P35" s="25">
        <f t="shared" si="4"/>
        <v>-99</v>
      </c>
      <c r="Q35" s="25">
        <f t="shared" si="5"/>
        <v>-99</v>
      </c>
    </row>
    <row r="36" spans="1:17" x14ac:dyDescent="0.25">
      <c r="A36" s="1">
        <v>440</v>
      </c>
      <c r="B36" s="25">
        <v>1.1615828548688008E-2</v>
      </c>
      <c r="C36" s="25">
        <v>8.5717543889788153E-3</v>
      </c>
      <c r="D36" s="25">
        <v>3.6696474486602082E-3</v>
      </c>
      <c r="E36" s="25">
        <v>7.9511141547320349E-3</v>
      </c>
      <c r="F36" s="25">
        <v>7.857359576413812E-3</v>
      </c>
      <c r="G36" s="25">
        <v>-99</v>
      </c>
      <c r="H36" s="28"/>
      <c r="I36" s="12"/>
      <c r="K36" s="25">
        <f t="shared" si="6"/>
        <v>-99</v>
      </c>
      <c r="L36" s="25">
        <f t="shared" si="0"/>
        <v>-99</v>
      </c>
      <c r="M36" s="25">
        <f t="shared" si="1"/>
        <v>-99</v>
      </c>
      <c r="N36" s="25">
        <f t="shared" si="2"/>
        <v>-99</v>
      </c>
      <c r="O36" s="25">
        <f t="shared" si="3"/>
        <v>-99</v>
      </c>
      <c r="P36" s="25">
        <f t="shared" si="4"/>
        <v>-99</v>
      </c>
      <c r="Q36" s="25">
        <f t="shared" si="5"/>
        <v>-99</v>
      </c>
    </row>
    <row r="37" spans="1:17" x14ac:dyDescent="0.25">
      <c r="A37" s="1">
        <v>442</v>
      </c>
      <c r="B37" s="25">
        <v>1.1313559060933205E-2</v>
      </c>
      <c r="C37" s="25">
        <v>8.4354628131995731E-3</v>
      </c>
      <c r="D37" s="25">
        <v>3.754063327990977E-3</v>
      </c>
      <c r="E37" s="25">
        <v>8.1579203887155345E-3</v>
      </c>
      <c r="F37" s="25">
        <v>8.0638539539222773E-3</v>
      </c>
      <c r="G37" s="25">
        <v>8.0638539539222773E-3</v>
      </c>
      <c r="H37" s="28"/>
      <c r="I37" s="12"/>
      <c r="K37" s="25">
        <f t="shared" si="6"/>
        <v>-99</v>
      </c>
      <c r="L37" s="25">
        <f t="shared" si="0"/>
        <v>-99</v>
      </c>
      <c r="M37" s="25">
        <f t="shared" si="1"/>
        <v>-99</v>
      </c>
      <c r="N37" s="25">
        <f t="shared" si="2"/>
        <v>-99</v>
      </c>
      <c r="O37" s="25">
        <f t="shared" si="3"/>
        <v>-99</v>
      </c>
      <c r="P37" s="25">
        <f t="shared" si="4"/>
        <v>-99</v>
      </c>
      <c r="Q37" s="25">
        <f t="shared" si="5"/>
        <v>-99</v>
      </c>
    </row>
    <row r="38" spans="1:17" x14ac:dyDescent="0.25">
      <c r="A38" s="1">
        <v>444</v>
      </c>
      <c r="B38" s="25">
        <v>1.1017122650501183E-2</v>
      </c>
      <c r="C38" s="25">
        <v>8.3089733011787233E-3</v>
      </c>
      <c r="D38" s="25">
        <v>3.8754313011444622E-3</v>
      </c>
      <c r="E38" s="25">
        <v>8.37425342450605E-3</v>
      </c>
      <c r="F38" s="25">
        <v>8.281999130489227E-3</v>
      </c>
      <c r="G38" s="25">
        <v>-99</v>
      </c>
      <c r="H38" s="28"/>
      <c r="I38" s="12"/>
      <c r="K38" s="25">
        <f t="shared" si="6"/>
        <v>-99</v>
      </c>
      <c r="L38" s="25">
        <f t="shared" si="0"/>
        <v>-99</v>
      </c>
      <c r="M38" s="25">
        <f t="shared" si="1"/>
        <v>-99</v>
      </c>
      <c r="N38" s="25">
        <f t="shared" si="2"/>
        <v>-99</v>
      </c>
      <c r="O38" s="25">
        <f t="shared" si="3"/>
        <v>-99</v>
      </c>
      <c r="P38" s="25">
        <f t="shared" si="4"/>
        <v>-99</v>
      </c>
      <c r="Q38" s="25">
        <f t="shared" si="5"/>
        <v>-99</v>
      </c>
    </row>
    <row r="39" spans="1:17" x14ac:dyDescent="0.25">
      <c r="A39" s="1">
        <v>446</v>
      </c>
      <c r="B39" s="25">
        <v>1.0736983103238373E-2</v>
      </c>
      <c r="C39" s="25">
        <v>8.1898625569110078E-3</v>
      </c>
      <c r="D39" s="25">
        <v>3.9804190040191433E-3</v>
      </c>
      <c r="E39" s="25">
        <v>8.5923225982974492E-3</v>
      </c>
      <c r="F39" s="25">
        <v>8.500576282170583E-3</v>
      </c>
      <c r="G39" s="25">
        <v>-99</v>
      </c>
      <c r="H39" s="28"/>
      <c r="I39" s="12"/>
      <c r="K39" s="25">
        <f t="shared" si="6"/>
        <v>-99</v>
      </c>
      <c r="L39" s="25">
        <f t="shared" si="0"/>
        <v>-99</v>
      </c>
      <c r="M39" s="25">
        <f t="shared" si="1"/>
        <v>-99</v>
      </c>
      <c r="N39" s="25">
        <f t="shared" si="2"/>
        <v>-99</v>
      </c>
      <c r="O39" s="25">
        <f t="shared" si="3"/>
        <v>-99</v>
      </c>
      <c r="P39" s="25">
        <f t="shared" si="4"/>
        <v>-99</v>
      </c>
      <c r="Q39" s="25">
        <f t="shared" si="5"/>
        <v>-99</v>
      </c>
    </row>
    <row r="40" spans="1:17" x14ac:dyDescent="0.25">
      <c r="A40" s="1">
        <v>448</v>
      </c>
      <c r="B40" s="25">
        <v>1.0478796766583511E-2</v>
      </c>
      <c r="C40" s="25">
        <v>8.0912681049079681E-3</v>
      </c>
      <c r="D40" s="25">
        <v>4.0831180807977558E-3</v>
      </c>
      <c r="E40" s="25">
        <v>8.8141570312226959E-3</v>
      </c>
      <c r="F40" s="25">
        <v>8.7222329138934018E-3</v>
      </c>
      <c r="G40" s="25">
        <v>-99</v>
      </c>
      <c r="H40" s="28"/>
      <c r="I40" s="12"/>
      <c r="K40" s="25">
        <f t="shared" si="6"/>
        <v>-99</v>
      </c>
      <c r="L40" s="25">
        <f t="shared" si="0"/>
        <v>-99</v>
      </c>
      <c r="M40" s="25">
        <f t="shared" si="1"/>
        <v>-99</v>
      </c>
      <c r="N40" s="25">
        <f t="shared" si="2"/>
        <v>-99</v>
      </c>
      <c r="O40" s="25">
        <f t="shared" si="3"/>
        <v>-99</v>
      </c>
      <c r="P40" s="25">
        <f t="shared" si="4"/>
        <v>-99</v>
      </c>
      <c r="Q40" s="25">
        <f t="shared" si="5"/>
        <v>-99</v>
      </c>
    </row>
    <row r="41" spans="1:17" x14ac:dyDescent="0.25">
      <c r="A41" s="1">
        <v>450</v>
      </c>
      <c r="B41" s="25">
        <v>1.0247012328078051E-2</v>
      </c>
      <c r="C41" s="25">
        <v>8.0016018594087843E-3</v>
      </c>
      <c r="D41" s="25">
        <v>4.1150902680769106E-3</v>
      </c>
      <c r="E41" s="25">
        <v>9.0299083701889764E-3</v>
      </c>
      <c r="F41" s="25">
        <v>8.9330660584700343E-3</v>
      </c>
      <c r="G41" s="25">
        <v>-99</v>
      </c>
      <c r="H41" s="28"/>
      <c r="I41" s="12"/>
      <c r="K41" s="25">
        <f t="shared" si="6"/>
        <v>-99</v>
      </c>
      <c r="L41" s="25">
        <f t="shared" si="0"/>
        <v>-99</v>
      </c>
      <c r="M41" s="25">
        <f t="shared" si="1"/>
        <v>-99</v>
      </c>
      <c r="N41" s="25">
        <f t="shared" si="2"/>
        <v>-99</v>
      </c>
      <c r="O41" s="25">
        <f t="shared" si="3"/>
        <v>-99</v>
      </c>
      <c r="P41" s="25">
        <f t="shared" si="4"/>
        <v>-99</v>
      </c>
      <c r="Q41" s="25">
        <f t="shared" si="5"/>
        <v>-99</v>
      </c>
    </row>
    <row r="42" spans="1:17" x14ac:dyDescent="0.25">
      <c r="A42" s="1">
        <v>452</v>
      </c>
      <c r="B42" s="25">
        <v>1.0005685496733906E-2</v>
      </c>
      <c r="C42" s="25">
        <v>7.9029416576037338E-3</v>
      </c>
      <c r="D42" s="25">
        <v>4.1920443509797468E-3</v>
      </c>
      <c r="E42" s="25">
        <v>9.2565868001376114E-3</v>
      </c>
      <c r="F42" s="25">
        <v>9.1577831322498648E-3</v>
      </c>
      <c r="G42" s="25">
        <v>-99</v>
      </c>
      <c r="H42" s="28"/>
      <c r="I42" s="12"/>
      <c r="K42" s="25">
        <f t="shared" si="6"/>
        <v>-99</v>
      </c>
      <c r="L42" s="25">
        <f t="shared" si="0"/>
        <v>-99</v>
      </c>
      <c r="M42" s="25">
        <f t="shared" si="1"/>
        <v>-99</v>
      </c>
      <c r="N42" s="25">
        <f t="shared" si="2"/>
        <v>-99</v>
      </c>
      <c r="O42" s="25">
        <f t="shared" si="3"/>
        <v>-99</v>
      </c>
      <c r="P42" s="25">
        <f t="shared" si="4"/>
        <v>-99</v>
      </c>
      <c r="Q42" s="25">
        <f t="shared" si="5"/>
        <v>-99</v>
      </c>
    </row>
    <row r="43" spans="1:17" x14ac:dyDescent="0.25">
      <c r="A43" s="1">
        <v>454</v>
      </c>
      <c r="B43" s="25">
        <v>9.7684921605312464E-3</v>
      </c>
      <c r="C43" s="25">
        <v>7.8065180676423519E-3</v>
      </c>
      <c r="D43" s="25">
        <v>4.2868731528120131E-3</v>
      </c>
      <c r="E43" s="25">
        <v>9.4902821133516519E-3</v>
      </c>
      <c r="F43" s="25">
        <v>9.3905281927345093E-3</v>
      </c>
      <c r="G43" s="25">
        <v>-99</v>
      </c>
      <c r="H43" s="28"/>
      <c r="I43" s="12"/>
      <c r="K43" s="25">
        <f t="shared" si="6"/>
        <v>-99</v>
      </c>
      <c r="L43" s="25">
        <f t="shared" si="0"/>
        <v>-99</v>
      </c>
      <c r="M43" s="25">
        <f t="shared" si="1"/>
        <v>-99</v>
      </c>
      <c r="N43" s="25">
        <f t="shared" si="2"/>
        <v>-99</v>
      </c>
      <c r="O43" s="25">
        <f t="shared" si="3"/>
        <v>-99</v>
      </c>
      <c r="P43" s="25">
        <f t="shared" si="4"/>
        <v>-99</v>
      </c>
      <c r="Q43" s="25">
        <f t="shared" si="5"/>
        <v>-99</v>
      </c>
    </row>
    <row r="44" spans="1:17" x14ac:dyDescent="0.25">
      <c r="A44" s="1">
        <v>456</v>
      </c>
      <c r="B44" s="25">
        <v>9.5430932284724275E-3</v>
      </c>
      <c r="C44" s="25">
        <v>7.7075765097058459E-3</v>
      </c>
      <c r="D44" s="25">
        <v>4.3359716040396509E-3</v>
      </c>
      <c r="E44" s="25">
        <v>9.721492092789219E-3</v>
      </c>
      <c r="F44" s="25">
        <v>9.6178332319679927E-3</v>
      </c>
      <c r="G44" s="25">
        <v>-99</v>
      </c>
      <c r="H44" s="28"/>
      <c r="I44" s="12"/>
      <c r="K44" s="25">
        <f t="shared" si="6"/>
        <v>-99</v>
      </c>
      <c r="L44" s="25">
        <f t="shared" si="0"/>
        <v>-99</v>
      </c>
      <c r="M44" s="25">
        <f t="shared" si="1"/>
        <v>-99</v>
      </c>
      <c r="N44" s="25">
        <f t="shared" si="2"/>
        <v>-99</v>
      </c>
      <c r="O44" s="25">
        <f t="shared" si="3"/>
        <v>-99</v>
      </c>
      <c r="P44" s="25">
        <f t="shared" si="4"/>
        <v>-99</v>
      </c>
      <c r="Q44" s="25">
        <f t="shared" si="5"/>
        <v>-99</v>
      </c>
    </row>
    <row r="45" spans="1:17" x14ac:dyDescent="0.25">
      <c r="A45" s="1">
        <v>458</v>
      </c>
      <c r="B45" s="25">
        <v>9.3202656095446885E-3</v>
      </c>
      <c r="C45" s="25">
        <v>7.6028409228754944E-3</v>
      </c>
      <c r="D45" s="25">
        <v>4.3767032069383189E-3</v>
      </c>
      <c r="E45" s="25">
        <v>9.955732475520368E-3</v>
      </c>
      <c r="F45" s="25">
        <v>9.8476678364609205E-3</v>
      </c>
      <c r="G45" s="25">
        <v>-99</v>
      </c>
      <c r="H45" s="28"/>
      <c r="I45" s="12"/>
      <c r="K45" s="25">
        <f t="shared" si="6"/>
        <v>-99</v>
      </c>
      <c r="L45" s="25">
        <f t="shared" si="0"/>
        <v>-99</v>
      </c>
      <c r="M45" s="25">
        <f t="shared" si="1"/>
        <v>-99</v>
      </c>
      <c r="N45" s="25">
        <f t="shared" si="2"/>
        <v>-99</v>
      </c>
      <c r="O45" s="25">
        <f t="shared" si="3"/>
        <v>-99</v>
      </c>
      <c r="P45" s="25">
        <f t="shared" si="4"/>
        <v>-99</v>
      </c>
      <c r="Q45" s="25">
        <f t="shared" si="5"/>
        <v>-99</v>
      </c>
    </row>
    <row r="46" spans="1:17" x14ac:dyDescent="0.25">
      <c r="A46" s="1">
        <v>460</v>
      </c>
      <c r="B46" s="25">
        <v>9.1152923564352083E-3</v>
      </c>
      <c r="C46" s="25">
        <v>7.5070630019488651E-3</v>
      </c>
      <c r="D46" s="25">
        <v>4.3698379769552993E-3</v>
      </c>
      <c r="E46" s="25">
        <v>1.0186378605974326E-2</v>
      </c>
      <c r="F46" s="25">
        <v>1.0070217923923437E-2</v>
      </c>
      <c r="G46" s="25">
        <v>-99</v>
      </c>
      <c r="H46" s="28"/>
      <c r="I46" s="12"/>
      <c r="K46" s="25">
        <f t="shared" si="6"/>
        <v>-99</v>
      </c>
      <c r="L46" s="25">
        <f t="shared" si="0"/>
        <v>-99</v>
      </c>
      <c r="M46" s="25">
        <f t="shared" si="1"/>
        <v>-99</v>
      </c>
      <c r="N46" s="25">
        <f t="shared" si="2"/>
        <v>-99</v>
      </c>
      <c r="O46" s="25">
        <f t="shared" si="3"/>
        <v>-99</v>
      </c>
      <c r="P46" s="25">
        <f t="shared" si="4"/>
        <v>-99</v>
      </c>
      <c r="Q46" s="25">
        <f t="shared" si="5"/>
        <v>-99</v>
      </c>
    </row>
    <row r="47" spans="1:17" x14ac:dyDescent="0.25">
      <c r="A47" s="1">
        <v>462</v>
      </c>
      <c r="B47" s="25">
        <v>8.9029103628659369E-3</v>
      </c>
      <c r="C47" s="25">
        <v>7.4041300593221072E-3</v>
      </c>
      <c r="D47" s="25">
        <v>4.4106051736990054E-3</v>
      </c>
      <c r="E47" s="25">
        <v>1.0428916136639961E-2</v>
      </c>
      <c r="F47" s="25">
        <v>1.0307969343626011E-2</v>
      </c>
      <c r="G47" s="25">
        <v>-99</v>
      </c>
      <c r="H47" s="28"/>
      <c r="I47" s="12"/>
      <c r="K47" s="25">
        <f t="shared" si="6"/>
        <v>-99</v>
      </c>
      <c r="L47" s="25">
        <f t="shared" si="0"/>
        <v>-99</v>
      </c>
      <c r="M47" s="25">
        <f t="shared" si="1"/>
        <v>-99</v>
      </c>
      <c r="N47" s="25">
        <f t="shared" si="2"/>
        <v>-99</v>
      </c>
      <c r="O47" s="25">
        <f t="shared" si="3"/>
        <v>-99</v>
      </c>
      <c r="P47" s="25">
        <f t="shared" si="4"/>
        <v>-99</v>
      </c>
      <c r="Q47" s="25">
        <f t="shared" si="5"/>
        <v>-99</v>
      </c>
    </row>
    <row r="48" spans="1:17" x14ac:dyDescent="0.25">
      <c r="A48" s="1">
        <v>464</v>
      </c>
      <c r="B48" s="25">
        <v>8.6943113964148451E-3</v>
      </c>
      <c r="C48" s="25">
        <v>7.303618251358575E-3</v>
      </c>
      <c r="D48" s="25">
        <v>4.4687820078833469E-3</v>
      </c>
      <c r="E48" s="25">
        <v>1.0678703955352928E-2</v>
      </c>
      <c r="F48" s="25">
        <v>1.0554036263194969E-2</v>
      </c>
      <c r="G48" s="25">
        <v>-99</v>
      </c>
      <c r="H48" s="28"/>
      <c r="I48" s="12"/>
      <c r="K48" s="25">
        <f t="shared" si="6"/>
        <v>-99</v>
      </c>
      <c r="L48" s="25">
        <f t="shared" si="0"/>
        <v>-99</v>
      </c>
      <c r="M48" s="25">
        <f t="shared" si="1"/>
        <v>-99</v>
      </c>
      <c r="N48" s="25">
        <f t="shared" si="2"/>
        <v>-99</v>
      </c>
      <c r="O48" s="25">
        <f t="shared" si="3"/>
        <v>-99</v>
      </c>
      <c r="P48" s="25">
        <f t="shared" si="4"/>
        <v>-99</v>
      </c>
      <c r="Q48" s="25">
        <f t="shared" si="5"/>
        <v>-99</v>
      </c>
    </row>
    <row r="49" spans="1:17" x14ac:dyDescent="0.25">
      <c r="A49" s="1">
        <v>466</v>
      </c>
      <c r="B49" s="25">
        <v>8.495101762504698E-3</v>
      </c>
      <c r="C49" s="25">
        <v>7.2092322188015293E-3</v>
      </c>
      <c r="D49" s="25">
        <v>4.5202889288950667E-3</v>
      </c>
      <c r="E49" s="25">
        <v>1.0931666549745724E-2</v>
      </c>
      <c r="F49" s="25">
        <v>1.0802482062731576E-2</v>
      </c>
      <c r="G49" s="25">
        <v>-99</v>
      </c>
      <c r="H49" s="28"/>
      <c r="I49" s="12"/>
      <c r="K49" s="25">
        <f t="shared" si="6"/>
        <v>-99</v>
      </c>
      <c r="L49" s="25">
        <f t="shared" si="0"/>
        <v>-99</v>
      </c>
      <c r="M49" s="25">
        <f t="shared" si="1"/>
        <v>-99</v>
      </c>
      <c r="N49" s="25">
        <f t="shared" si="2"/>
        <v>-99</v>
      </c>
      <c r="O49" s="25">
        <f t="shared" si="3"/>
        <v>-99</v>
      </c>
      <c r="P49" s="25">
        <f t="shared" si="4"/>
        <v>-99</v>
      </c>
      <c r="Q49" s="25">
        <f t="shared" si="5"/>
        <v>-99</v>
      </c>
    </row>
    <row r="50" spans="1:17" x14ac:dyDescent="0.25">
      <c r="A50" s="1">
        <v>468</v>
      </c>
      <c r="B50" s="25">
        <v>8.2592673564081259E-3</v>
      </c>
      <c r="C50" s="25">
        <v>7.0940565746464308E-3</v>
      </c>
      <c r="D50" s="25">
        <v>4.5625440238639048E-3</v>
      </c>
      <c r="E50" s="25">
        <v>1.1187346963357216E-2</v>
      </c>
      <c r="F50" s="25">
        <v>1.1052794617466053E-2</v>
      </c>
      <c r="G50" s="25">
        <v>-99</v>
      </c>
      <c r="H50" s="28"/>
      <c r="I50" s="12"/>
      <c r="K50" s="25">
        <f t="shared" si="6"/>
        <v>-99</v>
      </c>
      <c r="L50" s="25">
        <f t="shared" si="0"/>
        <v>-99</v>
      </c>
      <c r="M50" s="25">
        <f t="shared" si="1"/>
        <v>-99</v>
      </c>
      <c r="N50" s="25">
        <f t="shared" si="2"/>
        <v>-99</v>
      </c>
      <c r="O50" s="25">
        <f t="shared" si="3"/>
        <v>-99</v>
      </c>
      <c r="P50" s="25">
        <f t="shared" si="4"/>
        <v>-99</v>
      </c>
      <c r="Q50" s="25">
        <f t="shared" si="5"/>
        <v>-99</v>
      </c>
    </row>
    <row r="51" spans="1:17" x14ac:dyDescent="0.25">
      <c r="A51" s="1">
        <v>470</v>
      </c>
      <c r="B51" s="25">
        <v>8.0760204818911309E-3</v>
      </c>
      <c r="C51" s="25">
        <v>7.0051547310625096E-3</v>
      </c>
      <c r="D51" s="25">
        <v>4.5897774656481483E-3</v>
      </c>
      <c r="E51" s="25">
        <v>1.1444497659396114E-2</v>
      </c>
      <c r="F51" s="25">
        <v>1.1303098182006078E-2</v>
      </c>
      <c r="G51" s="25">
        <v>-99</v>
      </c>
      <c r="H51" s="28"/>
      <c r="I51" s="12"/>
      <c r="K51" s="25">
        <f t="shared" si="6"/>
        <v>-99</v>
      </c>
      <c r="L51" s="25">
        <f t="shared" si="0"/>
        <v>-99</v>
      </c>
      <c r="M51" s="25">
        <f t="shared" si="1"/>
        <v>-99</v>
      </c>
      <c r="N51" s="25">
        <f t="shared" si="2"/>
        <v>-99</v>
      </c>
      <c r="O51" s="25">
        <f t="shared" si="3"/>
        <v>-99</v>
      </c>
      <c r="P51" s="25">
        <f t="shared" si="4"/>
        <v>-99</v>
      </c>
      <c r="Q51" s="25">
        <f t="shared" si="5"/>
        <v>-99</v>
      </c>
    </row>
    <row r="52" spans="1:17" x14ac:dyDescent="0.25">
      <c r="A52" s="1">
        <v>472</v>
      </c>
      <c r="B52" s="25">
        <v>7.8499174133044511E-3</v>
      </c>
      <c r="C52" s="25">
        <v>6.8971766402126308E-3</v>
      </c>
      <c r="D52" s="25">
        <v>4.6878640909799076E-3</v>
      </c>
      <c r="E52" s="25">
        <v>1.1719142599242047E-2</v>
      </c>
      <c r="F52" s="25">
        <v>1.1576190763617704E-2</v>
      </c>
      <c r="G52" s="25">
        <v>-99</v>
      </c>
      <c r="H52" s="28"/>
      <c r="I52" s="12"/>
      <c r="K52" s="25">
        <f t="shared" si="6"/>
        <v>-99</v>
      </c>
      <c r="L52" s="25">
        <f t="shared" si="0"/>
        <v>-99</v>
      </c>
      <c r="M52" s="25">
        <f t="shared" si="1"/>
        <v>-99</v>
      </c>
      <c r="N52" s="25">
        <f t="shared" si="2"/>
        <v>-99</v>
      </c>
      <c r="O52" s="25">
        <f t="shared" si="3"/>
        <v>-99</v>
      </c>
      <c r="P52" s="25">
        <f t="shared" si="4"/>
        <v>-99</v>
      </c>
      <c r="Q52" s="25">
        <f t="shared" si="5"/>
        <v>-99</v>
      </c>
    </row>
    <row r="53" spans="1:17" x14ac:dyDescent="0.25">
      <c r="A53" s="1">
        <v>474</v>
      </c>
      <c r="B53" s="25">
        <v>7.6282647867716383E-3</v>
      </c>
      <c r="C53" s="25">
        <v>6.7867823405706905E-3</v>
      </c>
      <c r="D53" s="25">
        <v>4.7970741257718427E-3</v>
      </c>
      <c r="E53" s="25">
        <v>1.2000506125537012E-2</v>
      </c>
      <c r="F53" s="25">
        <v>1.1856947680008584E-2</v>
      </c>
      <c r="G53" s="25">
        <v>-99</v>
      </c>
      <c r="H53" s="28"/>
      <c r="I53" s="12"/>
      <c r="K53" s="25">
        <f t="shared" si="6"/>
        <v>-99</v>
      </c>
      <c r="L53" s="25">
        <f t="shared" si="0"/>
        <v>-99</v>
      </c>
      <c r="M53" s="25">
        <f t="shared" si="1"/>
        <v>-99</v>
      </c>
      <c r="N53" s="25">
        <f t="shared" si="2"/>
        <v>-99</v>
      </c>
      <c r="O53" s="25">
        <f t="shared" si="3"/>
        <v>-99</v>
      </c>
      <c r="P53" s="25">
        <f t="shared" si="4"/>
        <v>-99</v>
      </c>
      <c r="Q53" s="25">
        <f t="shared" si="5"/>
        <v>-99</v>
      </c>
    </row>
    <row r="54" spans="1:17" x14ac:dyDescent="0.25">
      <c r="A54" s="1">
        <v>476</v>
      </c>
      <c r="B54" s="25">
        <v>7.4153721010876824E-3</v>
      </c>
      <c r="C54" s="25">
        <v>6.6769568143213148E-3</v>
      </c>
      <c r="D54" s="25">
        <v>4.890237417120814E-3</v>
      </c>
      <c r="E54" s="25">
        <v>1.2283513605243771E-2</v>
      </c>
      <c r="F54" s="25">
        <v>1.2138070904356261E-2</v>
      </c>
      <c r="G54" s="25">
        <v>-99</v>
      </c>
      <c r="H54" s="28"/>
      <c r="I54" s="12"/>
      <c r="K54" s="25">
        <f t="shared" si="6"/>
        <v>-99</v>
      </c>
      <c r="L54" s="25">
        <f t="shared" si="0"/>
        <v>-99</v>
      </c>
      <c r="M54" s="25">
        <f t="shared" si="1"/>
        <v>-99</v>
      </c>
      <c r="N54" s="25">
        <f t="shared" si="2"/>
        <v>-99</v>
      </c>
      <c r="O54" s="25">
        <f t="shared" si="3"/>
        <v>-99</v>
      </c>
      <c r="P54" s="25">
        <f t="shared" si="4"/>
        <v>-99</v>
      </c>
      <c r="Q54" s="25">
        <f t="shared" si="5"/>
        <v>-99</v>
      </c>
    </row>
    <row r="55" spans="1:17" x14ac:dyDescent="0.25">
      <c r="A55" s="1">
        <v>478</v>
      </c>
      <c r="B55" s="25">
        <v>7.178629608919131E-3</v>
      </c>
      <c r="C55" s="25">
        <v>6.5531866281867152E-3</v>
      </c>
      <c r="D55" s="25">
        <v>4.9665736008763757E-3</v>
      </c>
      <c r="E55" s="25">
        <v>1.2567899712863368E-2</v>
      </c>
      <c r="F55" s="25">
        <v>1.2418968409347536E-2</v>
      </c>
      <c r="G55" s="25">
        <v>-99</v>
      </c>
      <c r="H55" s="28"/>
      <c r="I55" s="12"/>
      <c r="K55" s="25">
        <f t="shared" si="6"/>
        <v>-99</v>
      </c>
      <c r="L55" s="25">
        <f t="shared" si="0"/>
        <v>-99</v>
      </c>
      <c r="M55" s="25">
        <f t="shared" si="1"/>
        <v>-99</v>
      </c>
      <c r="N55" s="25">
        <f t="shared" si="2"/>
        <v>-99</v>
      </c>
      <c r="O55" s="25">
        <f t="shared" si="3"/>
        <v>-99</v>
      </c>
      <c r="P55" s="25">
        <f t="shared" si="4"/>
        <v>-99</v>
      </c>
      <c r="Q55" s="25">
        <f t="shared" si="5"/>
        <v>-99</v>
      </c>
    </row>
    <row r="56" spans="1:17" x14ac:dyDescent="0.25">
      <c r="A56" s="1">
        <v>480</v>
      </c>
      <c r="B56" s="25">
        <v>6.9578666059526987E-3</v>
      </c>
      <c r="C56" s="25">
        <v>6.4380220216478544E-3</v>
      </c>
      <c r="D56" s="25">
        <v>5.0078330027634984E-3</v>
      </c>
      <c r="E56" s="25">
        <v>1.2849966209801363E-2</v>
      </c>
      <c r="F56" s="25">
        <v>1.2694292477821275E-2</v>
      </c>
      <c r="G56" s="25">
        <v>-99</v>
      </c>
      <c r="H56" s="28"/>
      <c r="I56" s="12"/>
      <c r="K56" s="25">
        <f t="shared" si="6"/>
        <v>-99</v>
      </c>
      <c r="L56" s="25">
        <f t="shared" si="0"/>
        <v>-99</v>
      </c>
      <c r="M56" s="25">
        <f t="shared" si="1"/>
        <v>-99</v>
      </c>
      <c r="N56" s="25">
        <f t="shared" si="2"/>
        <v>-99</v>
      </c>
      <c r="O56" s="25">
        <f t="shared" si="3"/>
        <v>-99</v>
      </c>
      <c r="P56" s="25">
        <f t="shared" si="4"/>
        <v>-99</v>
      </c>
      <c r="Q56" s="25">
        <f t="shared" si="5"/>
        <v>-99</v>
      </c>
    </row>
    <row r="57" spans="1:17" x14ac:dyDescent="0.25">
      <c r="A57" s="1">
        <v>482</v>
      </c>
      <c r="B57" s="25">
        <v>6.7066139306456753E-3</v>
      </c>
      <c r="C57" s="25">
        <v>6.2942287250558997E-3</v>
      </c>
      <c r="D57" s="25">
        <v>5.0638010010141191E-3</v>
      </c>
      <c r="E57" s="25">
        <v>1.3139479338170269E-2</v>
      </c>
      <c r="F57" s="25">
        <v>1.2978752357479287E-2</v>
      </c>
      <c r="G57" s="25">
        <v>-99</v>
      </c>
      <c r="H57" s="28"/>
      <c r="I57" s="12"/>
      <c r="K57" s="25">
        <f t="shared" si="6"/>
        <v>-99</v>
      </c>
      <c r="L57" s="25">
        <f t="shared" si="0"/>
        <v>-99</v>
      </c>
      <c r="M57" s="25">
        <f t="shared" si="1"/>
        <v>-99</v>
      </c>
      <c r="N57" s="25">
        <f t="shared" si="2"/>
        <v>-99</v>
      </c>
      <c r="O57" s="25">
        <f t="shared" si="3"/>
        <v>-99</v>
      </c>
      <c r="P57" s="25">
        <f t="shared" si="4"/>
        <v>-99</v>
      </c>
      <c r="Q57" s="25">
        <f t="shared" si="5"/>
        <v>-99</v>
      </c>
    </row>
    <row r="58" spans="1:17" x14ac:dyDescent="0.25">
      <c r="A58" s="1">
        <v>484</v>
      </c>
      <c r="B58" s="25">
        <v>6.4715366567221436E-3</v>
      </c>
      <c r="C58" s="25">
        <v>6.162987677190054E-3</v>
      </c>
      <c r="D58" s="25">
        <v>5.1249922348530529E-3</v>
      </c>
      <c r="E58" s="25">
        <v>1.3434252697361109E-2</v>
      </c>
      <c r="F58" s="25">
        <v>1.3268200812086741E-2</v>
      </c>
      <c r="G58" s="25">
        <v>-99</v>
      </c>
      <c r="H58" s="28"/>
      <c r="I58" s="12"/>
      <c r="K58" s="25">
        <f t="shared" si="6"/>
        <v>-99</v>
      </c>
      <c r="L58" s="25">
        <f t="shared" si="0"/>
        <v>-99</v>
      </c>
      <c r="M58" s="25">
        <f t="shared" si="1"/>
        <v>-99</v>
      </c>
      <c r="N58" s="25">
        <f t="shared" si="2"/>
        <v>-99</v>
      </c>
      <c r="O58" s="25">
        <f t="shared" si="3"/>
        <v>-99</v>
      </c>
      <c r="P58" s="25">
        <f t="shared" si="4"/>
        <v>-99</v>
      </c>
      <c r="Q58" s="25">
        <f t="shared" si="5"/>
        <v>-99</v>
      </c>
    </row>
    <row r="59" spans="1:17" x14ac:dyDescent="0.25">
      <c r="A59" s="1">
        <v>486</v>
      </c>
      <c r="B59" s="25">
        <v>6.2499027918333757E-3</v>
      </c>
      <c r="C59" s="25">
        <v>6.0363110028633414E-3</v>
      </c>
      <c r="D59" s="25">
        <v>5.157849064225924E-3</v>
      </c>
      <c r="E59" s="25">
        <v>1.3727571272171264E-2</v>
      </c>
      <c r="F59" s="25">
        <v>1.3553496348250175E-2</v>
      </c>
      <c r="G59" s="25">
        <v>-99</v>
      </c>
      <c r="H59" s="28"/>
      <c r="I59" s="12"/>
      <c r="K59" s="25">
        <f t="shared" si="6"/>
        <v>-99</v>
      </c>
      <c r="L59" s="25">
        <f t="shared" si="0"/>
        <v>-99</v>
      </c>
      <c r="M59" s="25">
        <f t="shared" si="1"/>
        <v>-99</v>
      </c>
      <c r="N59" s="25">
        <f t="shared" si="2"/>
        <v>-99</v>
      </c>
      <c r="O59" s="25">
        <f t="shared" si="3"/>
        <v>-99</v>
      </c>
      <c r="P59" s="25">
        <f t="shared" si="4"/>
        <v>-99</v>
      </c>
      <c r="Q59" s="25">
        <f t="shared" si="5"/>
        <v>-99</v>
      </c>
    </row>
    <row r="60" spans="1:17" x14ac:dyDescent="0.25">
      <c r="A60" s="1">
        <v>488</v>
      </c>
      <c r="B60" s="25">
        <v>5.9852180874818322E-3</v>
      </c>
      <c r="C60" s="25">
        <v>5.8785795831265576E-3</v>
      </c>
      <c r="D60" s="25">
        <v>5.1900525530494479E-3</v>
      </c>
      <c r="E60" s="25">
        <v>1.4024888586955575E-2</v>
      </c>
      <c r="F60" s="25">
        <v>1.3842407743224538E-2</v>
      </c>
      <c r="G60" s="25">
        <v>-99</v>
      </c>
      <c r="H60" s="28"/>
      <c r="I60" s="12"/>
      <c r="K60" s="25">
        <f t="shared" si="6"/>
        <v>-99</v>
      </c>
      <c r="L60" s="25">
        <f t="shared" si="0"/>
        <v>-99</v>
      </c>
      <c r="M60" s="25">
        <f t="shared" si="1"/>
        <v>-99</v>
      </c>
      <c r="N60" s="25">
        <f t="shared" si="2"/>
        <v>-99</v>
      </c>
      <c r="O60" s="25">
        <f t="shared" si="3"/>
        <v>-99</v>
      </c>
      <c r="P60" s="25">
        <f t="shared" si="4"/>
        <v>-99</v>
      </c>
      <c r="Q60" s="25">
        <f t="shared" si="5"/>
        <v>-99</v>
      </c>
    </row>
    <row r="61" spans="1:17" x14ac:dyDescent="0.25">
      <c r="A61" s="1">
        <v>490</v>
      </c>
      <c r="B61" s="25">
        <v>5.741351527535239E-3</v>
      </c>
      <c r="C61" s="25">
        <v>5.7324608782870655E-3</v>
      </c>
      <c r="D61" s="25">
        <v>5.1759792208917153E-3</v>
      </c>
      <c r="E61" s="25">
        <v>1.4315838638144479E-2</v>
      </c>
      <c r="F61" s="25">
        <v>1.4119733352866301E-2</v>
      </c>
      <c r="G61" s="25">
        <v>1.4119733352866301E-2</v>
      </c>
      <c r="H61" s="28"/>
      <c r="I61" s="12"/>
      <c r="K61" s="25">
        <f t="shared" si="6"/>
        <v>-99</v>
      </c>
      <c r="L61" s="25">
        <f t="shared" si="0"/>
        <v>-99</v>
      </c>
      <c r="M61" s="25">
        <f t="shared" si="1"/>
        <v>-99</v>
      </c>
      <c r="N61" s="25">
        <f t="shared" si="2"/>
        <v>-99</v>
      </c>
      <c r="O61" s="25">
        <f t="shared" si="3"/>
        <v>-99</v>
      </c>
      <c r="P61" s="25">
        <f t="shared" si="4"/>
        <v>-99</v>
      </c>
      <c r="Q61" s="25">
        <f t="shared" si="5"/>
        <v>-99</v>
      </c>
    </row>
    <row r="62" spans="1:17" x14ac:dyDescent="0.25">
      <c r="A62" s="1">
        <v>492</v>
      </c>
      <c r="B62" s="25">
        <v>5.4839742280002419E-3</v>
      </c>
      <c r="C62" s="25">
        <v>5.5712269440740527E-3</v>
      </c>
      <c r="D62" s="25">
        <v>5.212506318713196E-3</v>
      </c>
      <c r="E62" s="25">
        <v>1.4621877174860841E-2</v>
      </c>
      <c r="F62" s="25">
        <v>1.4416673628998298E-2</v>
      </c>
      <c r="G62" s="25">
        <v>-99</v>
      </c>
      <c r="H62" s="28"/>
      <c r="I62" s="12"/>
      <c r="K62" s="25">
        <f t="shared" si="6"/>
        <v>-99</v>
      </c>
      <c r="L62" s="25">
        <f t="shared" si="0"/>
        <v>-99</v>
      </c>
      <c r="M62" s="25">
        <f t="shared" si="1"/>
        <v>-99</v>
      </c>
      <c r="N62" s="25">
        <f t="shared" si="2"/>
        <v>-99</v>
      </c>
      <c r="O62" s="25">
        <f t="shared" si="3"/>
        <v>-99</v>
      </c>
      <c r="P62" s="25">
        <f t="shared" si="4"/>
        <v>-99</v>
      </c>
      <c r="Q62" s="25">
        <f t="shared" si="5"/>
        <v>-99</v>
      </c>
    </row>
    <row r="63" spans="1:17" x14ac:dyDescent="0.25">
      <c r="A63" s="1">
        <v>494</v>
      </c>
      <c r="B63" s="25">
        <v>5.2251151185135538E-3</v>
      </c>
      <c r="C63" s="25">
        <v>5.4100061276542719E-3</v>
      </c>
      <c r="D63" s="25">
        <v>5.2593706222890373E-3</v>
      </c>
      <c r="E63" s="25">
        <v>1.4934029736465021E-2</v>
      </c>
      <c r="F63" s="25">
        <v>1.4719315657075811E-2</v>
      </c>
      <c r="G63" s="25">
        <v>-99</v>
      </c>
      <c r="H63" s="28"/>
      <c r="I63" s="12"/>
      <c r="K63" s="25">
        <f t="shared" si="6"/>
        <v>-99</v>
      </c>
      <c r="L63" s="25">
        <f t="shared" si="0"/>
        <v>-99</v>
      </c>
      <c r="M63" s="25">
        <f t="shared" si="1"/>
        <v>-99</v>
      </c>
      <c r="N63" s="25">
        <f t="shared" si="2"/>
        <v>-99</v>
      </c>
      <c r="O63" s="25">
        <f t="shared" si="3"/>
        <v>-99</v>
      </c>
      <c r="P63" s="25">
        <f t="shared" si="4"/>
        <v>-99</v>
      </c>
      <c r="Q63" s="25">
        <f t="shared" si="5"/>
        <v>-99</v>
      </c>
    </row>
    <row r="64" spans="1:17" x14ac:dyDescent="0.25">
      <c r="A64" s="1">
        <v>496</v>
      </c>
      <c r="B64" s="25">
        <v>4.9434593518633283E-3</v>
      </c>
      <c r="C64" s="25">
        <v>5.2213512921608337E-3</v>
      </c>
      <c r="D64" s="25">
        <v>5.2950809452569723E-3</v>
      </c>
      <c r="E64" s="25">
        <v>1.5247786986417074E-2</v>
      </c>
      <c r="F64" s="25">
        <v>1.5022479508241423E-2</v>
      </c>
      <c r="G64" s="25">
        <v>-99</v>
      </c>
      <c r="H64" s="28"/>
      <c r="I64" s="12"/>
      <c r="K64" s="25">
        <f t="shared" si="6"/>
        <v>-99</v>
      </c>
      <c r="L64" s="25">
        <f t="shared" si="0"/>
        <v>-99</v>
      </c>
      <c r="M64" s="25">
        <f t="shared" si="1"/>
        <v>-99</v>
      </c>
      <c r="N64" s="25">
        <f t="shared" si="2"/>
        <v>-99</v>
      </c>
      <c r="O64" s="25">
        <f t="shared" si="3"/>
        <v>-99</v>
      </c>
      <c r="P64" s="25">
        <f t="shared" si="4"/>
        <v>-99</v>
      </c>
      <c r="Q64" s="25">
        <f t="shared" si="5"/>
        <v>-99</v>
      </c>
    </row>
    <row r="65" spans="1:17" x14ac:dyDescent="0.25">
      <c r="A65" s="1">
        <v>498</v>
      </c>
      <c r="B65" s="25">
        <v>4.6298902227610511E-3</v>
      </c>
      <c r="C65" s="25">
        <v>4.9944557327086326E-3</v>
      </c>
      <c r="D65" s="25">
        <v>5.316373014929909E-3</v>
      </c>
      <c r="E65" s="25">
        <v>1.5562251437782807E-2</v>
      </c>
      <c r="F65" s="25">
        <v>1.5325239453703942E-2</v>
      </c>
      <c r="G65" s="25">
        <v>-99</v>
      </c>
      <c r="H65" s="28"/>
      <c r="I65" s="12"/>
      <c r="K65" s="25">
        <f t="shared" si="6"/>
        <v>-99</v>
      </c>
      <c r="L65" s="25">
        <f t="shared" si="0"/>
        <v>-99</v>
      </c>
      <c r="M65" s="25">
        <f t="shared" si="1"/>
        <v>-99</v>
      </c>
      <c r="N65" s="25">
        <f t="shared" si="2"/>
        <v>-99</v>
      </c>
      <c r="O65" s="25">
        <f t="shared" si="3"/>
        <v>-99</v>
      </c>
      <c r="P65" s="25">
        <f t="shared" si="4"/>
        <v>-99</v>
      </c>
      <c r="Q65" s="25">
        <f t="shared" si="5"/>
        <v>-99</v>
      </c>
    </row>
    <row r="66" spans="1:17" x14ac:dyDescent="0.25">
      <c r="A66" s="1">
        <v>500</v>
      </c>
      <c r="B66" s="25">
        <v>4.3322252235647781E-3</v>
      </c>
      <c r="C66" s="25">
        <v>4.772607362650636E-3</v>
      </c>
      <c r="D66" s="25">
        <v>5.3373951420805062E-3</v>
      </c>
      <c r="E66" s="25">
        <v>1.5880123163459728E-2</v>
      </c>
      <c r="F66" s="25">
        <v>1.5630165673842785E-2</v>
      </c>
      <c r="G66" s="25">
        <v>-99</v>
      </c>
      <c r="H66" s="28"/>
      <c r="I66" s="12"/>
      <c r="K66" s="25">
        <f t="shared" si="6"/>
        <v>-99</v>
      </c>
      <c r="L66" s="25">
        <f t="shared" si="0"/>
        <v>-99</v>
      </c>
      <c r="M66" s="25">
        <f t="shared" si="1"/>
        <v>-99</v>
      </c>
      <c r="N66" s="25">
        <f t="shared" si="2"/>
        <v>-99</v>
      </c>
      <c r="O66" s="25">
        <f t="shared" si="3"/>
        <v>-99</v>
      </c>
      <c r="P66" s="25">
        <f t="shared" si="4"/>
        <v>-99</v>
      </c>
      <c r="Q66" s="25">
        <f t="shared" si="5"/>
        <v>-99</v>
      </c>
    </row>
    <row r="67" spans="1:17" x14ac:dyDescent="0.25">
      <c r="A67" s="1">
        <v>502</v>
      </c>
      <c r="B67" s="25">
        <v>4.0341465058560348E-3</v>
      </c>
      <c r="C67" s="25">
        <v>4.5355229481872251E-3</v>
      </c>
      <c r="D67" s="25">
        <v>5.3656262254363875E-3</v>
      </c>
      <c r="E67" s="25">
        <v>1.6203988967517527E-2</v>
      </c>
      <c r="F67" s="25">
        <v>1.5942582705021746E-2</v>
      </c>
      <c r="G67" s="25">
        <v>-99</v>
      </c>
      <c r="H67" s="28"/>
      <c r="I67" s="12"/>
      <c r="K67" s="25">
        <f t="shared" si="6"/>
        <v>-99</v>
      </c>
      <c r="L67" s="25">
        <f t="shared" si="0"/>
        <v>-99</v>
      </c>
      <c r="M67" s="25">
        <f t="shared" si="1"/>
        <v>-99</v>
      </c>
      <c r="N67" s="25">
        <f t="shared" si="2"/>
        <v>-99</v>
      </c>
      <c r="O67" s="25">
        <f t="shared" si="3"/>
        <v>-99</v>
      </c>
      <c r="P67" s="25">
        <f t="shared" si="4"/>
        <v>-99</v>
      </c>
      <c r="Q67" s="25">
        <f t="shared" si="5"/>
        <v>-99</v>
      </c>
    </row>
    <row r="68" spans="1:17" x14ac:dyDescent="0.25">
      <c r="A68" s="1">
        <v>504</v>
      </c>
      <c r="B68" s="25">
        <v>3.7559143870395323E-3</v>
      </c>
      <c r="C68" s="25">
        <v>4.3067002795600514E-3</v>
      </c>
      <c r="D68" s="25">
        <v>5.4050305638202794E-3</v>
      </c>
      <c r="E68" s="25">
        <v>1.6534488972721976E-2</v>
      </c>
      <c r="F68" s="25">
        <v>1.626212513028347E-2</v>
      </c>
      <c r="G68" s="25">
        <v>-99</v>
      </c>
      <c r="H68" s="28"/>
      <c r="I68" s="12"/>
      <c r="K68" s="25">
        <f t="shared" si="6"/>
        <v>-99</v>
      </c>
      <c r="L68" s="25">
        <f t="shared" si="0"/>
        <v>-99</v>
      </c>
      <c r="M68" s="25">
        <f t="shared" si="1"/>
        <v>-99</v>
      </c>
      <c r="N68" s="25">
        <f t="shared" si="2"/>
        <v>-99</v>
      </c>
      <c r="O68" s="25">
        <f t="shared" si="3"/>
        <v>-99</v>
      </c>
      <c r="P68" s="25">
        <f t="shared" si="4"/>
        <v>-99</v>
      </c>
      <c r="Q68" s="25">
        <f t="shared" si="5"/>
        <v>-99</v>
      </c>
    </row>
    <row r="69" spans="1:17" x14ac:dyDescent="0.25">
      <c r="A69" s="1">
        <v>506</v>
      </c>
      <c r="B69" s="25">
        <v>3.506938135381357E-3</v>
      </c>
      <c r="C69" s="25">
        <v>4.0932208574505939E-3</v>
      </c>
      <c r="D69" s="25">
        <v>5.4261805367775513E-3</v>
      </c>
      <c r="E69" s="25">
        <v>1.6863809474736109E-2</v>
      </c>
      <c r="F69" s="25">
        <v>1.6578183902522744E-2</v>
      </c>
      <c r="G69" s="25">
        <v>-99</v>
      </c>
      <c r="H69" s="28"/>
      <c r="I69" s="12"/>
      <c r="K69" s="25">
        <f t="shared" si="6"/>
        <v>-99</v>
      </c>
      <c r="L69" s="25">
        <f t="shared" si="0"/>
        <v>-99</v>
      </c>
      <c r="M69" s="25">
        <f t="shared" si="1"/>
        <v>-99</v>
      </c>
      <c r="N69" s="25">
        <f t="shared" si="2"/>
        <v>-99</v>
      </c>
      <c r="O69" s="25">
        <f t="shared" si="3"/>
        <v>-99</v>
      </c>
      <c r="P69" s="25">
        <f t="shared" si="4"/>
        <v>-99</v>
      </c>
      <c r="Q69" s="25">
        <f t="shared" si="5"/>
        <v>-99</v>
      </c>
    </row>
    <row r="70" spans="1:17" x14ac:dyDescent="0.25">
      <c r="A70" s="1">
        <v>508</v>
      </c>
      <c r="B70" s="25">
        <v>3.2736264657103331E-3</v>
      </c>
      <c r="C70" s="25">
        <v>3.8855302690204404E-3</v>
      </c>
      <c r="D70" s="25">
        <v>5.4428826039788925E-3</v>
      </c>
      <c r="E70" s="25">
        <v>1.7195402824611548E-2</v>
      </c>
      <c r="F70" s="25">
        <v>1.6895610390785996E-2</v>
      </c>
      <c r="G70" s="25">
        <v>-99</v>
      </c>
      <c r="H70" s="28"/>
      <c r="I70" s="12"/>
      <c r="K70" s="25">
        <f t="shared" si="6"/>
        <v>-99</v>
      </c>
      <c r="L70" s="25">
        <f t="shared" si="0"/>
        <v>-99</v>
      </c>
      <c r="M70" s="25">
        <f t="shared" si="1"/>
        <v>-99</v>
      </c>
      <c r="N70" s="25">
        <f t="shared" si="2"/>
        <v>-99</v>
      </c>
      <c r="O70" s="25">
        <f t="shared" si="3"/>
        <v>-99</v>
      </c>
      <c r="P70" s="25">
        <f t="shared" si="4"/>
        <v>-99</v>
      </c>
      <c r="Q70" s="25">
        <f t="shared" si="5"/>
        <v>-99</v>
      </c>
    </row>
    <row r="71" spans="1:17" x14ac:dyDescent="0.25">
      <c r="A71" s="1">
        <v>510</v>
      </c>
      <c r="B71" s="25">
        <v>3.0641551839530141E-3</v>
      </c>
      <c r="C71" s="25">
        <v>3.6927865900659423E-3</v>
      </c>
      <c r="D71" s="25">
        <v>5.4324219068895736E-3</v>
      </c>
      <c r="E71" s="25">
        <v>1.7522143794800382E-2</v>
      </c>
      <c r="F71" s="25">
        <v>1.7203894832076089E-2</v>
      </c>
      <c r="G71" s="25">
        <v>1.7203894832076089E-2</v>
      </c>
      <c r="H71" s="28"/>
      <c r="I71" s="12"/>
      <c r="K71" s="25">
        <f t="shared" si="6"/>
        <v>-99</v>
      </c>
      <c r="L71" s="25">
        <f t="shared" si="0"/>
        <v>-99</v>
      </c>
      <c r="M71" s="25">
        <f t="shared" si="1"/>
        <v>-99</v>
      </c>
      <c r="N71" s="25">
        <f t="shared" si="2"/>
        <v>-99</v>
      </c>
      <c r="O71" s="25">
        <f t="shared" si="3"/>
        <v>-99</v>
      </c>
      <c r="P71" s="25">
        <f t="shared" si="4"/>
        <v>-99</v>
      </c>
      <c r="Q71" s="25">
        <f t="shared" si="5"/>
        <v>-99</v>
      </c>
    </row>
    <row r="72" spans="1:17" x14ac:dyDescent="0.25">
      <c r="A72" s="1">
        <v>512</v>
      </c>
      <c r="B72" s="25">
        <v>2.8665582112711442E-3</v>
      </c>
      <c r="C72" s="25">
        <v>3.5029327058979719E-3</v>
      </c>
      <c r="D72" s="25">
        <v>5.4570073413412676E-3</v>
      </c>
      <c r="E72" s="25">
        <v>1.7863293226851779E-2</v>
      </c>
      <c r="F72" s="25">
        <v>1.7533046055810984E-2</v>
      </c>
      <c r="G72" s="25">
        <v>-99</v>
      </c>
      <c r="H72" s="28"/>
      <c r="I72" s="12"/>
      <c r="K72" s="25">
        <f t="shared" si="6"/>
        <v>-99</v>
      </c>
      <c r="L72" s="25">
        <f t="shared" si="0"/>
        <v>-99</v>
      </c>
      <c r="M72" s="25">
        <f t="shared" si="1"/>
        <v>-99</v>
      </c>
      <c r="N72" s="25">
        <f t="shared" si="2"/>
        <v>-99</v>
      </c>
      <c r="O72" s="25">
        <f t="shared" si="3"/>
        <v>-99</v>
      </c>
      <c r="P72" s="25">
        <f t="shared" si="4"/>
        <v>-99</v>
      </c>
      <c r="Q72" s="25">
        <f t="shared" si="5"/>
        <v>-99</v>
      </c>
    </row>
    <row r="73" spans="1:17" x14ac:dyDescent="0.25">
      <c r="A73" s="1">
        <v>514</v>
      </c>
      <c r="B73" s="25">
        <v>2.6953214658571021E-3</v>
      </c>
      <c r="C73" s="25">
        <v>3.3346686407923821E-3</v>
      </c>
      <c r="D73" s="25">
        <v>5.4638969678726893E-3</v>
      </c>
      <c r="E73" s="25">
        <v>1.8202057484278902E-2</v>
      </c>
      <c r="F73" s="25">
        <v>1.7856771029527204E-2</v>
      </c>
      <c r="G73" s="25">
        <v>-99</v>
      </c>
      <c r="H73" s="28"/>
      <c r="I73" s="12"/>
      <c r="K73" s="25">
        <f t="shared" si="6"/>
        <v>-99</v>
      </c>
      <c r="L73" s="25">
        <f t="shared" si="0"/>
        <v>-99</v>
      </c>
      <c r="M73" s="25">
        <f t="shared" si="1"/>
        <v>-99</v>
      </c>
      <c r="N73" s="25">
        <f t="shared" si="2"/>
        <v>-99</v>
      </c>
      <c r="O73" s="25">
        <f t="shared" si="3"/>
        <v>-99</v>
      </c>
      <c r="P73" s="25">
        <f t="shared" si="4"/>
        <v>-99</v>
      </c>
      <c r="Q73" s="25">
        <f t="shared" si="5"/>
        <v>-99</v>
      </c>
    </row>
    <row r="74" spans="1:17" x14ac:dyDescent="0.25">
      <c r="A74" s="1">
        <v>516</v>
      </c>
      <c r="B74" s="25">
        <v>2.5457624527746004E-3</v>
      </c>
      <c r="C74" s="25">
        <v>3.1847869723045661E-3</v>
      </c>
      <c r="D74" s="25">
        <v>5.4519741566628312E-3</v>
      </c>
      <c r="E74" s="25">
        <v>1.8537370457502454E-2</v>
      </c>
      <c r="F74" s="25">
        <v>1.8173465854325988E-2</v>
      </c>
      <c r="G74" s="25">
        <v>-99</v>
      </c>
      <c r="H74" s="28"/>
      <c r="I74" s="12"/>
      <c r="K74" s="25">
        <f t="shared" si="6"/>
        <v>-99</v>
      </c>
      <c r="L74" s="25">
        <f t="shared" si="0"/>
        <v>-99</v>
      </c>
      <c r="M74" s="25">
        <f t="shared" si="1"/>
        <v>-99</v>
      </c>
      <c r="N74" s="25">
        <f t="shared" si="2"/>
        <v>-99</v>
      </c>
      <c r="O74" s="25">
        <f t="shared" si="3"/>
        <v>-99</v>
      </c>
      <c r="P74" s="25">
        <f t="shared" si="4"/>
        <v>-99</v>
      </c>
      <c r="Q74" s="25">
        <f t="shared" si="5"/>
        <v>-99</v>
      </c>
    </row>
    <row r="75" spans="1:17" x14ac:dyDescent="0.25">
      <c r="A75" s="1">
        <v>518</v>
      </c>
      <c r="B75" s="25">
        <v>2.4086592491464587E-3</v>
      </c>
      <c r="C75" s="25">
        <v>3.0448000190083859E-3</v>
      </c>
      <c r="D75" s="25">
        <v>5.4456063733440002E-3</v>
      </c>
      <c r="E75" s="25">
        <v>1.8877009874082605E-2</v>
      </c>
      <c r="F75" s="25">
        <v>1.849471906164173E-2</v>
      </c>
      <c r="G75" s="25">
        <v>-99</v>
      </c>
      <c r="H75" s="28"/>
      <c r="I75" s="12"/>
      <c r="K75" s="25">
        <f t="shared" si="6"/>
        <v>-99</v>
      </c>
      <c r="L75" s="25">
        <f t="shared" si="0"/>
        <v>-99</v>
      </c>
      <c r="M75" s="25">
        <f t="shared" si="1"/>
        <v>-99</v>
      </c>
      <c r="N75" s="25">
        <f t="shared" si="2"/>
        <v>-99</v>
      </c>
      <c r="O75" s="25">
        <f t="shared" si="3"/>
        <v>-99</v>
      </c>
      <c r="P75" s="25">
        <f t="shared" si="4"/>
        <v>-99</v>
      </c>
      <c r="Q75" s="25">
        <f t="shared" si="5"/>
        <v>-99</v>
      </c>
    </row>
    <row r="76" spans="1:17" x14ac:dyDescent="0.25">
      <c r="A76" s="1">
        <v>520</v>
      </c>
      <c r="B76" s="25">
        <v>2.3514324013502053E-3</v>
      </c>
      <c r="C76" s="25">
        <v>2.9952490684157381E-3</v>
      </c>
      <c r="D76" s="25">
        <v>5.4538338288028119E-3</v>
      </c>
      <c r="E76" s="25">
        <v>1.922104349328976E-2</v>
      </c>
      <c r="F76" s="25">
        <v>1.8813640440075222E-2</v>
      </c>
      <c r="G76" s="25">
        <v>-99</v>
      </c>
      <c r="H76" s="28"/>
      <c r="I76" s="12"/>
      <c r="K76" s="25">
        <f t="shared" si="6"/>
        <v>-99</v>
      </c>
      <c r="L76" s="25">
        <f t="shared" si="0"/>
        <v>-99</v>
      </c>
      <c r="M76" s="25">
        <f t="shared" si="1"/>
        <v>-99</v>
      </c>
      <c r="N76" s="25">
        <f t="shared" si="2"/>
        <v>-99</v>
      </c>
      <c r="O76" s="25">
        <f t="shared" si="3"/>
        <v>-99</v>
      </c>
      <c r="P76" s="25">
        <f t="shared" si="4"/>
        <v>-99</v>
      </c>
      <c r="Q76" s="25">
        <f t="shared" si="5"/>
        <v>-99</v>
      </c>
    </row>
    <row r="77" spans="1:17" x14ac:dyDescent="0.25">
      <c r="A77" s="1">
        <v>522</v>
      </c>
      <c r="B77" s="25">
        <v>2.2850233733613646E-3</v>
      </c>
      <c r="C77" s="25">
        <v>2.9326949519796887E-3</v>
      </c>
      <c r="D77" s="25">
        <v>5.4823511478608493E-3</v>
      </c>
      <c r="E77" s="25">
        <v>1.9576064679313689E-2</v>
      </c>
      <c r="F77" s="25">
        <v>1.9148939265929969E-2</v>
      </c>
      <c r="G77" s="25">
        <v>-99</v>
      </c>
      <c r="H77" s="28"/>
      <c r="I77" s="12"/>
      <c r="K77" s="25">
        <f t="shared" si="6"/>
        <v>-99</v>
      </c>
      <c r="L77" s="25">
        <f t="shared" si="0"/>
        <v>-99</v>
      </c>
      <c r="M77" s="25">
        <f t="shared" si="1"/>
        <v>-99</v>
      </c>
      <c r="N77" s="25">
        <f t="shared" si="2"/>
        <v>-99</v>
      </c>
      <c r="O77" s="25">
        <f t="shared" si="3"/>
        <v>-99</v>
      </c>
      <c r="P77" s="25">
        <f t="shared" si="4"/>
        <v>-99</v>
      </c>
      <c r="Q77" s="25">
        <f t="shared" si="5"/>
        <v>-99</v>
      </c>
    </row>
    <row r="78" spans="1:17" x14ac:dyDescent="0.25">
      <c r="A78" s="1">
        <v>524</v>
      </c>
      <c r="B78" s="25">
        <v>2.293194332667523E-3</v>
      </c>
      <c r="C78" s="25">
        <v>2.9587604946468872E-3</v>
      </c>
      <c r="D78" s="25">
        <v>5.574996992211664E-3</v>
      </c>
      <c r="E78" s="25">
        <v>1.9954377588717785E-2</v>
      </c>
      <c r="F78" s="25">
        <v>1.9508992364687557E-2</v>
      </c>
      <c r="G78" s="25">
        <v>-99</v>
      </c>
      <c r="H78" s="28"/>
      <c r="I78" s="12"/>
      <c r="K78" s="25">
        <f t="shared" si="6"/>
        <v>-99</v>
      </c>
      <c r="L78" s="25">
        <f t="shared" si="0"/>
        <v>-99</v>
      </c>
      <c r="M78" s="25">
        <f t="shared" si="1"/>
        <v>-99</v>
      </c>
      <c r="N78" s="25">
        <f t="shared" si="2"/>
        <v>-99</v>
      </c>
      <c r="O78" s="25">
        <f t="shared" si="3"/>
        <v>-99</v>
      </c>
      <c r="P78" s="25">
        <f t="shared" si="4"/>
        <v>-99</v>
      </c>
      <c r="Q78" s="25">
        <f t="shared" si="5"/>
        <v>-99</v>
      </c>
    </row>
    <row r="79" spans="1:17" x14ac:dyDescent="0.25">
      <c r="A79" s="1">
        <v>526</v>
      </c>
      <c r="B79" s="25">
        <v>2.1734531767930165E-3</v>
      </c>
      <c r="C79" s="25">
        <v>2.8280960186308946E-3</v>
      </c>
      <c r="D79" s="25">
        <v>5.556674495911248E-3</v>
      </c>
      <c r="E79" s="25">
        <v>2.0301048945057604E-2</v>
      </c>
      <c r="F79" s="25">
        <v>1.9835612584932914E-2</v>
      </c>
      <c r="G79" s="25">
        <v>-99</v>
      </c>
      <c r="H79" s="28"/>
      <c r="I79" s="12"/>
      <c r="K79" s="25">
        <f t="shared" si="6"/>
        <v>-99</v>
      </c>
      <c r="L79" s="25">
        <f t="shared" si="0"/>
        <v>-99</v>
      </c>
      <c r="M79" s="25">
        <f t="shared" si="1"/>
        <v>-99</v>
      </c>
      <c r="N79" s="25">
        <f t="shared" si="2"/>
        <v>-99</v>
      </c>
      <c r="O79" s="25">
        <f t="shared" si="3"/>
        <v>-99</v>
      </c>
      <c r="P79" s="25">
        <f t="shared" si="4"/>
        <v>-99</v>
      </c>
      <c r="Q79" s="25">
        <f t="shared" si="5"/>
        <v>-99</v>
      </c>
    </row>
    <row r="80" spans="1:17" x14ac:dyDescent="0.25">
      <c r="A80" s="1">
        <v>528</v>
      </c>
      <c r="B80" s="25">
        <v>2.1656069225804218E-3</v>
      </c>
      <c r="C80" s="25">
        <v>2.8329683175491263E-3</v>
      </c>
      <c r="D80" s="25">
        <v>5.6243458072059039E-3</v>
      </c>
      <c r="E80" s="25">
        <v>2.0677119447630888E-2</v>
      </c>
      <c r="F80" s="25">
        <v>2.019056136200512E-2</v>
      </c>
      <c r="G80" s="25">
        <v>-99</v>
      </c>
      <c r="H80" s="28"/>
      <c r="I80" s="12"/>
      <c r="K80" s="25">
        <f t="shared" si="6"/>
        <v>-99</v>
      </c>
      <c r="L80" s="25">
        <f t="shared" ref="L80:L143" si="7">IF(L$13,C80,-99)</f>
        <v>-99</v>
      </c>
      <c r="M80" s="25">
        <f t="shared" ref="M80:M143" si="8">IF(M$13,D80,-99)</f>
        <v>-99</v>
      </c>
      <c r="N80" s="25">
        <f t="shared" ref="N80:N143" si="9">IF(N$13,E80,-99)</f>
        <v>-99</v>
      </c>
      <c r="O80" s="25">
        <f t="shared" ref="O80:O143" si="10">IF(O$13,F80,-99)</f>
        <v>-99</v>
      </c>
      <c r="P80" s="25">
        <f t="shared" ref="P80:P143" si="11">IF(P$13,G80,-99)</f>
        <v>-99</v>
      </c>
      <c r="Q80" s="25">
        <f t="shared" ref="Q80:Q143" si="12">IF(Q$13,H80,-99)</f>
        <v>-99</v>
      </c>
    </row>
    <row r="81" spans="1:17" x14ac:dyDescent="0.25">
      <c r="A81" s="1">
        <v>530</v>
      </c>
      <c r="B81" s="25">
        <v>2.1099200856543039E-3</v>
      </c>
      <c r="C81" s="25">
        <v>2.7776986416156086E-3</v>
      </c>
      <c r="D81" s="25">
        <v>5.6248977983043317E-3</v>
      </c>
      <c r="E81" s="25">
        <v>2.1032323120833637E-2</v>
      </c>
      <c r="F81" s="25">
        <v>2.0519063410184616E-2</v>
      </c>
      <c r="G81" s="25">
        <v>-99</v>
      </c>
      <c r="H81" s="28"/>
      <c r="I81" s="12"/>
      <c r="K81" s="25">
        <f t="shared" ref="K81:K144" si="13">IF(K$13,B81,-99)</f>
        <v>-99</v>
      </c>
      <c r="L81" s="25">
        <f t="shared" si="7"/>
        <v>-99</v>
      </c>
      <c r="M81" s="25">
        <f t="shared" si="8"/>
        <v>-99</v>
      </c>
      <c r="N81" s="25">
        <f t="shared" si="9"/>
        <v>-99</v>
      </c>
      <c r="O81" s="25">
        <f t="shared" si="10"/>
        <v>-99</v>
      </c>
      <c r="P81" s="25">
        <f t="shared" si="11"/>
        <v>-99</v>
      </c>
      <c r="Q81" s="25">
        <f t="shared" si="12"/>
        <v>-99</v>
      </c>
    </row>
    <row r="82" spans="1:17" x14ac:dyDescent="0.25">
      <c r="A82" s="1">
        <v>532</v>
      </c>
      <c r="B82" s="25">
        <v>2.0116526401503469E-3</v>
      </c>
      <c r="C82" s="25">
        <v>2.6675550358696552E-3</v>
      </c>
      <c r="D82" s="25">
        <v>5.6056945955514637E-3</v>
      </c>
      <c r="E82" s="25">
        <v>2.138465392572559E-2</v>
      </c>
      <c r="F82" s="25">
        <v>2.08494780036961E-2</v>
      </c>
      <c r="G82" s="25">
        <v>-99</v>
      </c>
      <c r="H82" s="28"/>
      <c r="I82" s="12"/>
      <c r="K82" s="25">
        <f t="shared" si="13"/>
        <v>-99</v>
      </c>
      <c r="L82" s="25">
        <f t="shared" si="7"/>
        <v>-99</v>
      </c>
      <c r="M82" s="25">
        <f t="shared" si="8"/>
        <v>-99</v>
      </c>
      <c r="N82" s="25">
        <f t="shared" si="9"/>
        <v>-99</v>
      </c>
      <c r="O82" s="25">
        <f t="shared" si="10"/>
        <v>-99</v>
      </c>
      <c r="P82" s="25">
        <f t="shared" si="11"/>
        <v>-99</v>
      </c>
      <c r="Q82" s="25">
        <f t="shared" si="12"/>
        <v>-99</v>
      </c>
    </row>
    <row r="83" spans="1:17" x14ac:dyDescent="0.25">
      <c r="A83" s="1">
        <v>534</v>
      </c>
      <c r="B83" s="25">
        <v>1.9404986081935974E-3</v>
      </c>
      <c r="C83" s="25">
        <v>2.5904497918990744E-3</v>
      </c>
      <c r="D83" s="25">
        <v>5.6373928002354098E-3</v>
      </c>
      <c r="E83" s="25">
        <v>2.1758495534216174E-2</v>
      </c>
      <c r="F83" s="25">
        <v>2.1206296093471598E-2</v>
      </c>
      <c r="G83" s="25">
        <v>-99</v>
      </c>
      <c r="H83" s="28"/>
      <c r="I83" s="12"/>
      <c r="K83" s="25">
        <f t="shared" si="13"/>
        <v>-99</v>
      </c>
      <c r="L83" s="25">
        <f t="shared" si="7"/>
        <v>-99</v>
      </c>
      <c r="M83" s="25">
        <f t="shared" si="8"/>
        <v>-99</v>
      </c>
      <c r="N83" s="25">
        <f t="shared" si="9"/>
        <v>-99</v>
      </c>
      <c r="O83" s="25">
        <f t="shared" si="10"/>
        <v>-99</v>
      </c>
      <c r="P83" s="25">
        <f t="shared" si="11"/>
        <v>-99</v>
      </c>
      <c r="Q83" s="25">
        <f t="shared" si="12"/>
        <v>-99</v>
      </c>
    </row>
    <row r="84" spans="1:17" x14ac:dyDescent="0.25">
      <c r="A84" s="1">
        <v>536</v>
      </c>
      <c r="B84" s="25">
        <v>1.8612912583884744E-3</v>
      </c>
      <c r="C84" s="25">
        <v>2.5010442379381479E-3</v>
      </c>
      <c r="D84" s="25">
        <v>5.6330248197831003E-3</v>
      </c>
      <c r="E84" s="25">
        <v>2.2120119108989384E-2</v>
      </c>
      <c r="F84" s="25">
        <v>2.1546697802238772E-2</v>
      </c>
      <c r="G84" s="25">
        <v>-99</v>
      </c>
      <c r="H84" s="28"/>
      <c r="I84" s="12"/>
      <c r="K84" s="25">
        <f t="shared" si="13"/>
        <v>-99</v>
      </c>
      <c r="L84" s="25">
        <f t="shared" si="7"/>
        <v>-99</v>
      </c>
      <c r="M84" s="25">
        <f t="shared" si="8"/>
        <v>-99</v>
      </c>
      <c r="N84" s="25">
        <f t="shared" si="9"/>
        <v>-99</v>
      </c>
      <c r="O84" s="25">
        <f t="shared" si="10"/>
        <v>-99</v>
      </c>
      <c r="P84" s="25">
        <f t="shared" si="11"/>
        <v>-99</v>
      </c>
      <c r="Q84" s="25">
        <f t="shared" si="12"/>
        <v>-99</v>
      </c>
    </row>
    <row r="85" spans="1:17" x14ac:dyDescent="0.25">
      <c r="A85" s="1">
        <v>538</v>
      </c>
      <c r="B85" s="25">
        <v>1.8011169950866125E-3</v>
      </c>
      <c r="C85" s="25">
        <v>2.4346795576337295E-3</v>
      </c>
      <c r="D85" s="25">
        <v>5.654580288493331E-3</v>
      </c>
      <c r="E85" s="25">
        <v>2.2493991462020312E-2</v>
      </c>
      <c r="F85" s="25">
        <v>2.1901876027398969E-2</v>
      </c>
      <c r="G85" s="25">
        <v>-99</v>
      </c>
      <c r="H85" s="28"/>
      <c r="I85" s="12"/>
      <c r="K85" s="25">
        <f t="shared" si="13"/>
        <v>-99</v>
      </c>
      <c r="L85" s="25">
        <f t="shared" si="7"/>
        <v>-99</v>
      </c>
      <c r="M85" s="25">
        <f t="shared" si="8"/>
        <v>-99</v>
      </c>
      <c r="N85" s="25">
        <f t="shared" si="9"/>
        <v>-99</v>
      </c>
      <c r="O85" s="25">
        <f t="shared" si="10"/>
        <v>-99</v>
      </c>
      <c r="P85" s="25">
        <f t="shared" si="11"/>
        <v>-99</v>
      </c>
      <c r="Q85" s="25">
        <f t="shared" si="12"/>
        <v>-99</v>
      </c>
    </row>
    <row r="86" spans="1:17" x14ac:dyDescent="0.25">
      <c r="A86" s="1">
        <v>540</v>
      </c>
      <c r="B86" s="25">
        <v>1.7265827646084635E-3</v>
      </c>
      <c r="C86" s="25">
        <v>2.3481353890731967E-3</v>
      </c>
      <c r="D86" s="25">
        <v>5.622562050033854E-3</v>
      </c>
      <c r="E86" s="25">
        <v>2.2846420676522504E-2</v>
      </c>
      <c r="F86" s="25">
        <v>2.2228076596659905E-2</v>
      </c>
      <c r="G86" s="25">
        <v>-99</v>
      </c>
      <c r="H86" s="28"/>
      <c r="I86" s="12"/>
      <c r="K86" s="25">
        <f t="shared" si="13"/>
        <v>-99</v>
      </c>
      <c r="L86" s="25">
        <f t="shared" si="7"/>
        <v>-99</v>
      </c>
      <c r="M86" s="25">
        <f t="shared" si="8"/>
        <v>-99</v>
      </c>
      <c r="N86" s="25">
        <f t="shared" si="9"/>
        <v>-99</v>
      </c>
      <c r="O86" s="25">
        <f t="shared" si="10"/>
        <v>-99</v>
      </c>
      <c r="P86" s="25">
        <f t="shared" si="11"/>
        <v>-99</v>
      </c>
      <c r="Q86" s="25">
        <f t="shared" si="12"/>
        <v>-99</v>
      </c>
    </row>
    <row r="87" spans="1:17" x14ac:dyDescent="0.25">
      <c r="A87" s="1">
        <v>542</v>
      </c>
      <c r="B87" s="25">
        <v>1.6788981454712274E-3</v>
      </c>
      <c r="C87" s="25">
        <v>2.2959989211786928E-3</v>
      </c>
      <c r="D87" s="25">
        <v>5.6584993233729829E-3</v>
      </c>
      <c r="E87" s="25">
        <v>2.3229891446985881E-2</v>
      </c>
      <c r="F87" s="25">
        <v>2.2593826233102212E-2</v>
      </c>
      <c r="G87" s="25">
        <v>-99</v>
      </c>
      <c r="H87" s="28"/>
      <c r="I87" s="12"/>
      <c r="K87" s="25">
        <f t="shared" si="13"/>
        <v>-99</v>
      </c>
      <c r="L87" s="25">
        <f t="shared" si="7"/>
        <v>-99</v>
      </c>
      <c r="M87" s="25">
        <f t="shared" si="8"/>
        <v>-99</v>
      </c>
      <c r="N87" s="25">
        <f t="shared" si="9"/>
        <v>-99</v>
      </c>
      <c r="O87" s="25">
        <f t="shared" si="10"/>
        <v>-99</v>
      </c>
      <c r="P87" s="25">
        <f t="shared" si="11"/>
        <v>-99</v>
      </c>
      <c r="Q87" s="25">
        <f t="shared" si="12"/>
        <v>-99</v>
      </c>
    </row>
    <row r="88" spans="1:17" x14ac:dyDescent="0.25">
      <c r="A88" s="1">
        <v>544</v>
      </c>
      <c r="B88" s="25">
        <v>1.584851059618405E-3</v>
      </c>
      <c r="C88" s="25">
        <v>2.1810820576353353E-3</v>
      </c>
      <c r="D88" s="25">
        <v>5.6111982623022237E-3</v>
      </c>
      <c r="E88" s="25">
        <v>2.3580478040022595E-2</v>
      </c>
      <c r="F88" s="25">
        <v>2.2924685115963281E-2</v>
      </c>
      <c r="G88" s="25">
        <v>-99</v>
      </c>
      <c r="H88" s="28"/>
      <c r="I88" s="12"/>
      <c r="K88" s="25">
        <f t="shared" si="13"/>
        <v>-99</v>
      </c>
      <c r="L88" s="25">
        <f t="shared" si="7"/>
        <v>-99</v>
      </c>
      <c r="M88" s="25">
        <f t="shared" si="8"/>
        <v>-99</v>
      </c>
      <c r="N88" s="25">
        <f t="shared" si="9"/>
        <v>-99</v>
      </c>
      <c r="O88" s="25">
        <f t="shared" si="10"/>
        <v>-99</v>
      </c>
      <c r="P88" s="25">
        <f t="shared" si="11"/>
        <v>-99</v>
      </c>
      <c r="Q88" s="25">
        <f t="shared" si="12"/>
        <v>-99</v>
      </c>
    </row>
    <row r="89" spans="1:17" x14ac:dyDescent="0.25">
      <c r="A89" s="1">
        <v>546</v>
      </c>
      <c r="B89" s="25">
        <v>1.5177500306473642E-3</v>
      </c>
      <c r="C89" s="25">
        <v>2.1008617056061476E-3</v>
      </c>
      <c r="D89" s="25">
        <v>5.6325177444938824E-3</v>
      </c>
      <c r="E89" s="25">
        <v>2.3964030247181311E-2</v>
      </c>
      <c r="F89" s="25">
        <v>2.329852764206421E-2</v>
      </c>
      <c r="G89" s="25">
        <v>-99</v>
      </c>
      <c r="H89" s="28"/>
      <c r="I89" s="12"/>
      <c r="K89" s="25">
        <f t="shared" si="13"/>
        <v>-99</v>
      </c>
      <c r="L89" s="25">
        <f t="shared" si="7"/>
        <v>-99</v>
      </c>
      <c r="M89" s="25">
        <f t="shared" si="8"/>
        <v>-99</v>
      </c>
      <c r="N89" s="25">
        <f t="shared" si="9"/>
        <v>-99</v>
      </c>
      <c r="O89" s="25">
        <f t="shared" si="10"/>
        <v>-99</v>
      </c>
      <c r="P89" s="25">
        <f t="shared" si="11"/>
        <v>-99</v>
      </c>
      <c r="Q89" s="25">
        <f t="shared" si="12"/>
        <v>-99</v>
      </c>
    </row>
    <row r="90" spans="1:17" x14ac:dyDescent="0.25">
      <c r="A90" s="1">
        <v>548</v>
      </c>
      <c r="B90" s="25">
        <v>1.4473058692150913E-3</v>
      </c>
      <c r="C90" s="25">
        <v>2.0146550684515862E-3</v>
      </c>
      <c r="D90" s="25">
        <v>5.6123477075147796E-3</v>
      </c>
      <c r="E90" s="25">
        <v>2.4328602642921249E-2</v>
      </c>
      <c r="F90" s="25">
        <v>2.3647353725822728E-2</v>
      </c>
      <c r="G90" s="25">
        <v>-99</v>
      </c>
      <c r="H90" s="28"/>
      <c r="I90" s="12"/>
      <c r="K90" s="25">
        <f t="shared" si="13"/>
        <v>-99</v>
      </c>
      <c r="L90" s="25">
        <f t="shared" si="7"/>
        <v>-99</v>
      </c>
      <c r="M90" s="25">
        <f t="shared" si="8"/>
        <v>-99</v>
      </c>
      <c r="N90" s="25">
        <f t="shared" si="9"/>
        <v>-99</v>
      </c>
      <c r="O90" s="25">
        <f t="shared" si="10"/>
        <v>-99</v>
      </c>
      <c r="P90" s="25">
        <f t="shared" si="11"/>
        <v>-99</v>
      </c>
      <c r="Q90" s="25">
        <f t="shared" si="12"/>
        <v>-99</v>
      </c>
    </row>
    <row r="91" spans="1:17" x14ac:dyDescent="0.25">
      <c r="A91" s="1">
        <v>550</v>
      </c>
      <c r="B91" s="25">
        <v>1.3726533557651785E-3</v>
      </c>
      <c r="C91" s="25">
        <v>1.9215886912497405E-3</v>
      </c>
      <c r="D91" s="25">
        <v>5.5794581846709025E-3</v>
      </c>
      <c r="E91" s="25">
        <v>2.4688196920127227E-2</v>
      </c>
      <c r="F91" s="25">
        <v>2.399252360186524E-2</v>
      </c>
      <c r="G91" s="25">
        <v>-99</v>
      </c>
      <c r="H91" s="28"/>
      <c r="I91" s="12"/>
      <c r="K91" s="25">
        <f t="shared" si="13"/>
        <v>-99</v>
      </c>
      <c r="L91" s="25">
        <f t="shared" si="7"/>
        <v>-99</v>
      </c>
      <c r="M91" s="25">
        <f t="shared" si="8"/>
        <v>-99</v>
      </c>
      <c r="N91" s="25">
        <f t="shared" si="9"/>
        <v>-99</v>
      </c>
      <c r="O91" s="25">
        <f t="shared" si="10"/>
        <v>-99</v>
      </c>
      <c r="P91" s="25">
        <f t="shared" si="11"/>
        <v>-99</v>
      </c>
      <c r="Q91" s="25">
        <f t="shared" si="12"/>
        <v>-99</v>
      </c>
    </row>
    <row r="92" spans="1:17" x14ac:dyDescent="0.25">
      <c r="A92" s="1">
        <v>552</v>
      </c>
      <c r="B92" s="25">
        <v>1.3060591232885884E-3</v>
      </c>
      <c r="C92" s="25">
        <v>1.8386654569176556E-3</v>
      </c>
      <c r="D92" s="25">
        <v>5.5809234143031081E-3</v>
      </c>
      <c r="E92" s="25">
        <v>2.506668101831603E-2</v>
      </c>
      <c r="F92" s="25">
        <v>2.4363761475168434E-2</v>
      </c>
      <c r="G92" s="25">
        <v>-99</v>
      </c>
      <c r="H92" s="28"/>
      <c r="I92" s="12"/>
      <c r="K92" s="25">
        <f t="shared" si="13"/>
        <v>-99</v>
      </c>
      <c r="L92" s="25">
        <f t="shared" si="7"/>
        <v>-99</v>
      </c>
      <c r="M92" s="25">
        <f t="shared" si="8"/>
        <v>-99</v>
      </c>
      <c r="N92" s="25">
        <f t="shared" si="9"/>
        <v>-99</v>
      </c>
      <c r="O92" s="25">
        <f t="shared" si="10"/>
        <v>-99</v>
      </c>
      <c r="P92" s="25">
        <f t="shared" si="11"/>
        <v>-99</v>
      </c>
      <c r="Q92" s="25">
        <f t="shared" si="12"/>
        <v>-99</v>
      </c>
    </row>
    <row r="93" spans="1:17" x14ac:dyDescent="0.25">
      <c r="A93" s="1">
        <v>554</v>
      </c>
      <c r="B93" s="25">
        <v>1.2501834648453514E-3</v>
      </c>
      <c r="C93" s="25">
        <v>1.7694215342091172E-3</v>
      </c>
      <c r="D93" s="25">
        <v>5.5977952734839994E-3</v>
      </c>
      <c r="E93" s="25">
        <v>2.5453998247750548E-2</v>
      </c>
      <c r="F93" s="25">
        <v>2.474577354468737E-2</v>
      </c>
      <c r="G93" s="25">
        <v>2.474577354468737E-2</v>
      </c>
      <c r="H93" s="28"/>
      <c r="I93" s="12"/>
      <c r="K93" s="25">
        <f t="shared" si="13"/>
        <v>-99</v>
      </c>
      <c r="L93" s="25">
        <f t="shared" si="7"/>
        <v>-99</v>
      </c>
      <c r="M93" s="25">
        <f t="shared" si="8"/>
        <v>-99</v>
      </c>
      <c r="N93" s="25">
        <f t="shared" si="9"/>
        <v>-99</v>
      </c>
      <c r="O93" s="25">
        <f t="shared" si="10"/>
        <v>-99</v>
      </c>
      <c r="P93" s="25">
        <f t="shared" si="11"/>
        <v>-99</v>
      </c>
      <c r="Q93" s="25">
        <f t="shared" si="12"/>
        <v>-99</v>
      </c>
    </row>
    <row r="94" spans="1:17" x14ac:dyDescent="0.25">
      <c r="A94" s="1">
        <v>556</v>
      </c>
      <c r="B94" s="25">
        <v>1.2069575474000754E-3</v>
      </c>
      <c r="C94" s="25">
        <v>1.7168950959480221E-3</v>
      </c>
      <c r="D94" s="25">
        <v>5.6325900131642889E-3</v>
      </c>
      <c r="E94" s="25">
        <v>2.5850806478880401E-2</v>
      </c>
      <c r="F94" s="25">
        <v>2.5136497490494559E-2</v>
      </c>
      <c r="G94" s="25">
        <v>-99</v>
      </c>
      <c r="H94" s="28"/>
      <c r="I94" s="12"/>
      <c r="K94" s="25">
        <f t="shared" si="13"/>
        <v>-99</v>
      </c>
      <c r="L94" s="25">
        <f t="shared" si="7"/>
        <v>-99</v>
      </c>
      <c r="M94" s="25">
        <f t="shared" si="8"/>
        <v>-99</v>
      </c>
      <c r="N94" s="25">
        <f t="shared" si="9"/>
        <v>-99</v>
      </c>
      <c r="O94" s="25">
        <f t="shared" si="10"/>
        <v>-99</v>
      </c>
      <c r="P94" s="25">
        <f t="shared" si="11"/>
        <v>-99</v>
      </c>
      <c r="Q94" s="25">
        <f t="shared" si="12"/>
        <v>-99</v>
      </c>
    </row>
    <row r="95" spans="1:17" x14ac:dyDescent="0.25">
      <c r="A95" s="1">
        <v>558</v>
      </c>
      <c r="B95" s="25">
        <v>1.1710692112317548E-3</v>
      </c>
      <c r="C95" s="25">
        <v>1.6738004900776517E-3</v>
      </c>
      <c r="D95" s="25">
        <v>5.635908134163441E-3</v>
      </c>
      <c r="E95" s="25">
        <v>2.6227702370153268E-2</v>
      </c>
      <c r="F95" s="25">
        <v>2.549319447551688E-2</v>
      </c>
      <c r="G95" s="25">
        <v>-99</v>
      </c>
      <c r="H95" s="28"/>
      <c r="I95" s="12"/>
      <c r="K95" s="25">
        <f t="shared" si="13"/>
        <v>-99</v>
      </c>
      <c r="L95" s="25">
        <f t="shared" si="7"/>
        <v>-99</v>
      </c>
      <c r="M95" s="25">
        <f t="shared" si="8"/>
        <v>-99</v>
      </c>
      <c r="N95" s="25">
        <f t="shared" si="9"/>
        <v>-99</v>
      </c>
      <c r="O95" s="25">
        <f t="shared" si="10"/>
        <v>-99</v>
      </c>
      <c r="P95" s="25">
        <f t="shared" si="11"/>
        <v>-99</v>
      </c>
      <c r="Q95" s="25">
        <f t="shared" si="12"/>
        <v>-99</v>
      </c>
    </row>
    <row r="96" spans="1:17" x14ac:dyDescent="0.25">
      <c r="A96" s="1">
        <v>560</v>
      </c>
      <c r="B96" s="25">
        <v>1.1332958898200387E-3</v>
      </c>
      <c r="C96" s="25">
        <v>1.6272468884628206E-3</v>
      </c>
      <c r="D96" s="25">
        <v>5.6954418681489059E-3</v>
      </c>
      <c r="E96" s="25">
        <v>2.6645164170062467E-2</v>
      </c>
      <c r="F96" s="25">
        <v>2.5923403071433593E-2</v>
      </c>
      <c r="G96" s="25">
        <v>-99</v>
      </c>
      <c r="H96" s="28"/>
      <c r="I96" s="12"/>
      <c r="K96" s="25">
        <f t="shared" si="13"/>
        <v>-99</v>
      </c>
      <c r="L96" s="25">
        <f t="shared" si="7"/>
        <v>-99</v>
      </c>
      <c r="M96" s="25">
        <f t="shared" si="8"/>
        <v>-99</v>
      </c>
      <c r="N96" s="25">
        <f t="shared" si="9"/>
        <v>-99</v>
      </c>
      <c r="O96" s="25">
        <f t="shared" si="10"/>
        <v>-99</v>
      </c>
      <c r="P96" s="25">
        <f t="shared" si="11"/>
        <v>-99</v>
      </c>
      <c r="Q96" s="25">
        <f t="shared" si="12"/>
        <v>-99</v>
      </c>
    </row>
    <row r="97" spans="1:17" x14ac:dyDescent="0.25">
      <c r="A97" s="1">
        <v>562</v>
      </c>
      <c r="B97" s="25">
        <v>1.0972717293655301E-3</v>
      </c>
      <c r="C97" s="25">
        <v>1.5827597464169864E-3</v>
      </c>
      <c r="D97" s="25">
        <v>5.7403521110049724E-3</v>
      </c>
      <c r="E97" s="25">
        <v>2.7054073036456322E-2</v>
      </c>
      <c r="F97" s="25">
        <v>2.6338648905949516E-2</v>
      </c>
      <c r="G97" s="25">
        <v>-99</v>
      </c>
      <c r="H97" s="28"/>
      <c r="I97" s="12"/>
      <c r="K97" s="25">
        <f t="shared" si="13"/>
        <v>-99</v>
      </c>
      <c r="L97" s="25">
        <f t="shared" si="7"/>
        <v>-99</v>
      </c>
      <c r="M97" s="25">
        <f t="shared" si="8"/>
        <v>-99</v>
      </c>
      <c r="N97" s="25">
        <f t="shared" si="9"/>
        <v>-99</v>
      </c>
      <c r="O97" s="25">
        <f t="shared" si="10"/>
        <v>-99</v>
      </c>
      <c r="P97" s="25">
        <f t="shared" si="11"/>
        <v>-99</v>
      </c>
      <c r="Q97" s="25">
        <f t="shared" si="12"/>
        <v>-99</v>
      </c>
    </row>
    <row r="98" spans="1:17" x14ac:dyDescent="0.25">
      <c r="A98" s="1">
        <v>564</v>
      </c>
      <c r="B98" s="25">
        <v>1.0643508219502276E-3</v>
      </c>
      <c r="C98" s="25">
        <v>1.5420183167950013E-3</v>
      </c>
      <c r="D98" s="25">
        <v>5.7518004318096822E-3</v>
      </c>
      <c r="E98" s="25">
        <v>2.7442249315599677E-2</v>
      </c>
      <c r="F98" s="25">
        <v>2.6722735863328708E-2</v>
      </c>
      <c r="G98" s="25">
        <v>-99</v>
      </c>
      <c r="H98" s="28"/>
      <c r="I98" s="12"/>
      <c r="K98" s="25">
        <f t="shared" si="13"/>
        <v>-99</v>
      </c>
      <c r="L98" s="25">
        <f t="shared" si="7"/>
        <v>-99</v>
      </c>
      <c r="M98" s="25">
        <f t="shared" si="8"/>
        <v>-99</v>
      </c>
      <c r="N98" s="25">
        <f t="shared" si="9"/>
        <v>-99</v>
      </c>
      <c r="O98" s="25">
        <f t="shared" si="10"/>
        <v>-99</v>
      </c>
      <c r="P98" s="25">
        <f t="shared" si="11"/>
        <v>-99</v>
      </c>
      <c r="Q98" s="25">
        <f t="shared" si="12"/>
        <v>-99</v>
      </c>
    </row>
    <row r="99" spans="1:17" x14ac:dyDescent="0.25">
      <c r="A99" s="1">
        <v>566</v>
      </c>
      <c r="B99" s="25">
        <v>1.0243480076688838E-3</v>
      </c>
      <c r="C99" s="25">
        <v>1.4907576739145428E-3</v>
      </c>
      <c r="D99" s="25">
        <v>5.7398995984808271E-3</v>
      </c>
      <c r="E99" s="25">
        <v>2.7818581604416748E-2</v>
      </c>
      <c r="F99" s="25">
        <v>2.7096917372893554E-2</v>
      </c>
      <c r="G99" s="25">
        <v>-99</v>
      </c>
      <c r="H99" s="28"/>
      <c r="I99" s="12"/>
      <c r="K99" s="25">
        <f t="shared" si="13"/>
        <v>-99</v>
      </c>
      <c r="L99" s="25">
        <f t="shared" si="7"/>
        <v>-99</v>
      </c>
      <c r="M99" s="25">
        <f t="shared" si="8"/>
        <v>-99</v>
      </c>
      <c r="N99" s="25">
        <f t="shared" si="9"/>
        <v>-99</v>
      </c>
      <c r="O99" s="25">
        <f t="shared" si="10"/>
        <v>-99</v>
      </c>
      <c r="P99" s="25">
        <f t="shared" si="11"/>
        <v>-99</v>
      </c>
      <c r="Q99" s="25">
        <f t="shared" si="12"/>
        <v>-99</v>
      </c>
    </row>
    <row r="100" spans="1:17" x14ac:dyDescent="0.25">
      <c r="A100" s="1">
        <v>568</v>
      </c>
      <c r="B100" s="25">
        <v>9.9050284830598588E-4</v>
      </c>
      <c r="C100" s="25">
        <v>1.4475976846792125E-3</v>
      </c>
      <c r="D100" s="25">
        <v>5.7159578840583264E-3</v>
      </c>
      <c r="E100" s="25">
        <v>2.8185547059408796E-2</v>
      </c>
      <c r="F100" s="25">
        <v>2.7457719508651546E-2</v>
      </c>
      <c r="G100" s="25">
        <v>-99</v>
      </c>
      <c r="H100" s="28"/>
      <c r="I100" s="12"/>
      <c r="K100" s="25">
        <f t="shared" si="13"/>
        <v>-99</v>
      </c>
      <c r="L100" s="25">
        <f t="shared" si="7"/>
        <v>-99</v>
      </c>
      <c r="M100" s="25">
        <f t="shared" si="8"/>
        <v>-99</v>
      </c>
      <c r="N100" s="25">
        <f t="shared" si="9"/>
        <v>-99</v>
      </c>
      <c r="O100" s="25">
        <f t="shared" si="10"/>
        <v>-99</v>
      </c>
      <c r="P100" s="25">
        <f t="shared" si="11"/>
        <v>-99</v>
      </c>
      <c r="Q100" s="25">
        <f t="shared" si="12"/>
        <v>-99</v>
      </c>
    </row>
    <row r="101" spans="1:17" x14ac:dyDescent="0.25">
      <c r="A101" s="1">
        <v>570</v>
      </c>
      <c r="B101" s="25">
        <v>9.4710620973741675E-4</v>
      </c>
      <c r="C101" s="25">
        <v>1.3902977365806547E-3</v>
      </c>
      <c r="D101" s="25">
        <v>5.6471082200800242E-3</v>
      </c>
      <c r="E101" s="25">
        <v>2.8523611406481998E-2</v>
      </c>
      <c r="F101" s="25">
        <v>2.7785591417092075E-2</v>
      </c>
      <c r="G101" s="25">
        <v>-99</v>
      </c>
      <c r="H101" s="28"/>
      <c r="I101" s="12"/>
      <c r="K101" s="25">
        <f t="shared" si="13"/>
        <v>-99</v>
      </c>
      <c r="L101" s="25">
        <f t="shared" si="7"/>
        <v>-99</v>
      </c>
      <c r="M101" s="25">
        <f t="shared" si="8"/>
        <v>-99</v>
      </c>
      <c r="N101" s="25">
        <f t="shared" si="9"/>
        <v>-99</v>
      </c>
      <c r="O101" s="25">
        <f t="shared" si="10"/>
        <v>-99</v>
      </c>
      <c r="P101" s="25">
        <f t="shared" si="11"/>
        <v>-99</v>
      </c>
      <c r="Q101" s="25">
        <f t="shared" si="12"/>
        <v>-99</v>
      </c>
    </row>
    <row r="102" spans="1:17" x14ac:dyDescent="0.25">
      <c r="A102" s="1">
        <v>572</v>
      </c>
      <c r="B102" s="25">
        <v>9.0317374253424455E-4</v>
      </c>
      <c r="C102" s="25">
        <v>1.3314005033277813E-3</v>
      </c>
      <c r="D102" s="25">
        <v>5.5672890938946338E-3</v>
      </c>
      <c r="E102" s="25">
        <v>2.8854202692481668E-2</v>
      </c>
      <c r="F102" s="25">
        <v>2.8116003597860886E-2</v>
      </c>
      <c r="G102" s="25">
        <v>-99</v>
      </c>
      <c r="H102" s="28"/>
      <c r="I102" s="12"/>
      <c r="K102" s="25">
        <f t="shared" si="13"/>
        <v>-99</v>
      </c>
      <c r="L102" s="25">
        <f t="shared" si="7"/>
        <v>-99</v>
      </c>
      <c r="M102" s="25">
        <f t="shared" si="8"/>
        <v>-99</v>
      </c>
      <c r="N102" s="25">
        <f t="shared" si="9"/>
        <v>-99</v>
      </c>
      <c r="O102" s="25">
        <f t="shared" si="10"/>
        <v>-99</v>
      </c>
      <c r="P102" s="25">
        <f t="shared" si="11"/>
        <v>-99</v>
      </c>
      <c r="Q102" s="25">
        <f t="shared" si="12"/>
        <v>-99</v>
      </c>
    </row>
    <row r="103" spans="1:17" x14ac:dyDescent="0.25">
      <c r="A103" s="1">
        <v>574</v>
      </c>
      <c r="B103" s="25">
        <v>8.582431574698725E-4</v>
      </c>
      <c r="C103" s="25">
        <v>1.2706649515103754E-3</v>
      </c>
      <c r="D103" s="25">
        <v>5.5142301566913424E-3</v>
      </c>
      <c r="E103" s="25">
        <v>2.9204187300300905E-2</v>
      </c>
      <c r="F103" s="25">
        <v>2.8483400042847364E-2</v>
      </c>
      <c r="G103" s="25">
        <v>-99</v>
      </c>
      <c r="H103" s="28"/>
      <c r="I103" s="12"/>
      <c r="K103" s="25">
        <f t="shared" si="13"/>
        <v>-99</v>
      </c>
      <c r="L103" s="25">
        <f t="shared" si="7"/>
        <v>-99</v>
      </c>
      <c r="M103" s="25">
        <f t="shared" si="8"/>
        <v>-99</v>
      </c>
      <c r="N103" s="25">
        <f t="shared" si="9"/>
        <v>-99</v>
      </c>
      <c r="O103" s="25">
        <f t="shared" si="10"/>
        <v>-99</v>
      </c>
      <c r="P103" s="25">
        <f t="shared" si="11"/>
        <v>-99</v>
      </c>
      <c r="Q103" s="25">
        <f t="shared" si="12"/>
        <v>-99</v>
      </c>
    </row>
    <row r="104" spans="1:17" x14ac:dyDescent="0.25">
      <c r="A104" s="1">
        <v>576</v>
      </c>
      <c r="B104" s="25">
        <v>8.1022942910346368E-4</v>
      </c>
      <c r="C104" s="25">
        <v>1.2047771768490673E-3</v>
      </c>
      <c r="D104" s="25">
        <v>5.3885894548495262E-3</v>
      </c>
      <c r="E104" s="25">
        <v>2.9493837546378295E-2</v>
      </c>
      <c r="F104" s="25">
        <v>2.8769472288906202E-2</v>
      </c>
      <c r="G104" s="25">
        <v>-99</v>
      </c>
      <c r="H104" s="28"/>
      <c r="I104" s="12"/>
      <c r="K104" s="25">
        <f t="shared" si="13"/>
        <v>-99</v>
      </c>
      <c r="L104" s="25">
        <f t="shared" si="7"/>
        <v>-99</v>
      </c>
      <c r="M104" s="25">
        <f t="shared" si="8"/>
        <v>-99</v>
      </c>
      <c r="N104" s="25">
        <f t="shared" si="9"/>
        <v>-99</v>
      </c>
      <c r="O104" s="25">
        <f t="shared" si="10"/>
        <v>-99</v>
      </c>
      <c r="P104" s="25">
        <f t="shared" si="11"/>
        <v>-99</v>
      </c>
      <c r="Q104" s="25">
        <f t="shared" si="12"/>
        <v>-99</v>
      </c>
    </row>
    <row r="105" spans="1:17" x14ac:dyDescent="0.25">
      <c r="A105" s="1">
        <v>578</v>
      </c>
      <c r="B105" s="25">
        <v>7.6731864487585596E-4</v>
      </c>
      <c r="C105" s="25">
        <v>1.1457952258530238E-3</v>
      </c>
      <c r="D105" s="25">
        <v>5.2792178090357413E-3</v>
      </c>
      <c r="E105" s="25">
        <v>2.9788625792465603E-2</v>
      </c>
      <c r="F105" s="25">
        <v>2.9066663029322898E-2</v>
      </c>
      <c r="G105" s="25">
        <v>-99</v>
      </c>
      <c r="H105" s="28"/>
      <c r="I105" s="12"/>
      <c r="K105" s="25">
        <f t="shared" si="13"/>
        <v>-99</v>
      </c>
      <c r="L105" s="25">
        <f t="shared" si="7"/>
        <v>-99</v>
      </c>
      <c r="M105" s="25">
        <f t="shared" si="8"/>
        <v>-99</v>
      </c>
      <c r="N105" s="25">
        <f t="shared" si="9"/>
        <v>-99</v>
      </c>
      <c r="O105" s="25">
        <f t="shared" si="10"/>
        <v>-99</v>
      </c>
      <c r="P105" s="25">
        <f t="shared" si="11"/>
        <v>-99</v>
      </c>
      <c r="Q105" s="25">
        <f t="shared" si="12"/>
        <v>-99</v>
      </c>
    </row>
    <row r="106" spans="1:17" x14ac:dyDescent="0.25">
      <c r="A106" s="1">
        <v>580</v>
      </c>
      <c r="B106" s="25">
        <v>7.1439319920849141E-4</v>
      </c>
      <c r="C106" s="25">
        <v>1.0713678314425482E-3</v>
      </c>
      <c r="D106" s="25">
        <v>5.0889116089268749E-3</v>
      </c>
      <c r="E106" s="25">
        <v>3.0008570053931389E-2</v>
      </c>
      <c r="F106" s="25">
        <v>2.9280946700071447E-2</v>
      </c>
      <c r="G106" s="25">
        <v>-99</v>
      </c>
      <c r="H106" s="28"/>
      <c r="I106" s="12"/>
      <c r="K106" s="25">
        <f t="shared" si="13"/>
        <v>-99</v>
      </c>
      <c r="L106" s="25">
        <f t="shared" si="7"/>
        <v>-99</v>
      </c>
      <c r="M106" s="25">
        <f t="shared" si="8"/>
        <v>-99</v>
      </c>
      <c r="N106" s="25">
        <f t="shared" si="9"/>
        <v>-99</v>
      </c>
      <c r="O106" s="25">
        <f t="shared" si="10"/>
        <v>-99</v>
      </c>
      <c r="P106" s="25">
        <f t="shared" si="11"/>
        <v>-99</v>
      </c>
      <c r="Q106" s="25">
        <f t="shared" si="12"/>
        <v>-99</v>
      </c>
    </row>
    <row r="107" spans="1:17" x14ac:dyDescent="0.25">
      <c r="A107" s="1">
        <v>582</v>
      </c>
      <c r="B107" s="25">
        <v>6.7268209791976601E-4</v>
      </c>
      <c r="C107" s="25">
        <v>1.0129990216070019E-3</v>
      </c>
      <c r="D107" s="25">
        <v>4.9290984982133263E-3</v>
      </c>
      <c r="E107" s="25">
        <v>3.0234446661859336E-2</v>
      </c>
      <c r="F107" s="25">
        <v>2.9494985918521108E-2</v>
      </c>
      <c r="G107" s="25">
        <v>-99</v>
      </c>
      <c r="H107" s="28"/>
      <c r="I107" s="12"/>
      <c r="K107" s="25">
        <f t="shared" si="13"/>
        <v>-99</v>
      </c>
      <c r="L107" s="25">
        <f t="shared" si="7"/>
        <v>-99</v>
      </c>
      <c r="M107" s="25">
        <f t="shared" si="8"/>
        <v>-99</v>
      </c>
      <c r="N107" s="25">
        <f t="shared" si="9"/>
        <v>-99</v>
      </c>
      <c r="O107" s="25">
        <f t="shared" si="10"/>
        <v>-99</v>
      </c>
      <c r="P107" s="25">
        <f t="shared" si="11"/>
        <v>-99</v>
      </c>
      <c r="Q107" s="25">
        <f t="shared" si="12"/>
        <v>-99</v>
      </c>
    </row>
    <row r="108" spans="1:17" x14ac:dyDescent="0.25">
      <c r="A108" s="1">
        <v>584</v>
      </c>
      <c r="B108" s="25">
        <v>6.16820738921597E-4</v>
      </c>
      <c r="C108" s="25">
        <v>9.3295481152379711E-4</v>
      </c>
      <c r="D108" s="25">
        <v>4.7087723420011643E-3</v>
      </c>
      <c r="E108" s="25">
        <v>3.039458865848773E-2</v>
      </c>
      <c r="F108" s="25">
        <v>2.9662745185809847E-2</v>
      </c>
      <c r="G108" s="25">
        <v>-99</v>
      </c>
      <c r="H108" s="28"/>
      <c r="I108" s="12"/>
      <c r="K108" s="25">
        <f t="shared" si="13"/>
        <v>-99</v>
      </c>
      <c r="L108" s="25">
        <f t="shared" si="7"/>
        <v>-99</v>
      </c>
      <c r="M108" s="25">
        <f t="shared" si="8"/>
        <v>-99</v>
      </c>
      <c r="N108" s="25">
        <f t="shared" si="9"/>
        <v>-99</v>
      </c>
      <c r="O108" s="25">
        <f t="shared" si="10"/>
        <v>-99</v>
      </c>
      <c r="P108" s="25">
        <f t="shared" si="11"/>
        <v>-99</v>
      </c>
      <c r="Q108" s="25">
        <f t="shared" si="12"/>
        <v>-99</v>
      </c>
    </row>
    <row r="109" spans="1:17" x14ac:dyDescent="0.25">
      <c r="A109" s="1">
        <v>586</v>
      </c>
      <c r="B109" s="25">
        <v>5.681353622049841E-4</v>
      </c>
      <c r="C109" s="25">
        <v>8.6310340436777661E-4</v>
      </c>
      <c r="D109" s="25">
        <v>4.5155230359469022E-3</v>
      </c>
      <c r="E109" s="25">
        <v>3.055668452799519E-2</v>
      </c>
      <c r="F109" s="25">
        <v>2.9834817237848834E-2</v>
      </c>
      <c r="G109" s="25">
        <v>-99</v>
      </c>
      <c r="H109" s="28"/>
      <c r="I109" s="12"/>
      <c r="K109" s="25">
        <f t="shared" si="13"/>
        <v>-99</v>
      </c>
      <c r="L109" s="25">
        <f t="shared" si="7"/>
        <v>-99</v>
      </c>
      <c r="M109" s="25">
        <f t="shared" si="8"/>
        <v>-99</v>
      </c>
      <c r="N109" s="25">
        <f t="shared" si="9"/>
        <v>-99</v>
      </c>
      <c r="O109" s="25">
        <f t="shared" si="10"/>
        <v>-99</v>
      </c>
      <c r="P109" s="25">
        <f t="shared" si="11"/>
        <v>-99</v>
      </c>
      <c r="Q109" s="25">
        <f t="shared" si="12"/>
        <v>-99</v>
      </c>
    </row>
    <row r="110" spans="1:17" x14ac:dyDescent="0.25">
      <c r="A110" s="1">
        <v>588</v>
      </c>
      <c r="B110" s="25">
        <v>5.199445402009256E-4</v>
      </c>
      <c r="C110" s="25">
        <v>7.9329319685427782E-4</v>
      </c>
      <c r="D110" s="25">
        <v>4.2924693919665167E-3</v>
      </c>
      <c r="E110" s="25">
        <v>3.0657783001850614E-2</v>
      </c>
      <c r="F110" s="25">
        <v>2.9943865485692167E-2</v>
      </c>
      <c r="G110" s="25">
        <v>-99</v>
      </c>
      <c r="H110" s="28"/>
      <c r="I110" s="12"/>
      <c r="K110" s="25">
        <f t="shared" si="13"/>
        <v>-99</v>
      </c>
      <c r="L110" s="25">
        <f t="shared" si="7"/>
        <v>-99</v>
      </c>
      <c r="M110" s="25">
        <f t="shared" si="8"/>
        <v>-99</v>
      </c>
      <c r="N110" s="25">
        <f t="shared" si="9"/>
        <v>-99</v>
      </c>
      <c r="O110" s="25">
        <f t="shared" si="10"/>
        <v>-99</v>
      </c>
      <c r="P110" s="25">
        <f t="shared" si="11"/>
        <v>-99</v>
      </c>
      <c r="Q110" s="25">
        <f t="shared" si="12"/>
        <v>-99</v>
      </c>
    </row>
    <row r="111" spans="1:17" x14ac:dyDescent="0.25">
      <c r="A111" s="1">
        <v>590</v>
      </c>
      <c r="B111" s="25">
        <v>4.7536732816780178E-4</v>
      </c>
      <c r="C111" s="25">
        <v>7.2843294480762774E-4</v>
      </c>
      <c r="D111" s="25">
        <v>4.0869345071015712E-3</v>
      </c>
      <c r="E111" s="25">
        <v>3.0750426395683709E-2</v>
      </c>
      <c r="F111" s="25">
        <v>3.0055965101195851E-2</v>
      </c>
      <c r="G111" s="25">
        <v>3.0055965101195851E-2</v>
      </c>
      <c r="H111" s="28"/>
      <c r="I111" s="12"/>
      <c r="K111" s="25">
        <f t="shared" si="13"/>
        <v>-99</v>
      </c>
      <c r="L111" s="25">
        <f t="shared" si="7"/>
        <v>-99</v>
      </c>
      <c r="M111" s="25">
        <f t="shared" si="8"/>
        <v>-99</v>
      </c>
      <c r="N111" s="25">
        <f t="shared" si="9"/>
        <v>-99</v>
      </c>
      <c r="O111" s="25">
        <f t="shared" si="10"/>
        <v>-99</v>
      </c>
      <c r="P111" s="25">
        <f t="shared" si="11"/>
        <v>-99</v>
      </c>
      <c r="Q111" s="25">
        <f t="shared" si="12"/>
        <v>-99</v>
      </c>
    </row>
    <row r="112" spans="1:17" x14ac:dyDescent="0.25">
      <c r="A112" s="1">
        <v>592</v>
      </c>
      <c r="B112" s="25">
        <v>4.3711034567627617E-4</v>
      </c>
      <c r="C112" s="25">
        <v>6.7259815171499522E-4</v>
      </c>
      <c r="D112" s="25">
        <v>3.8839847770311821E-3</v>
      </c>
      <c r="E112" s="25">
        <v>3.0806780281492915E-2</v>
      </c>
      <c r="F112" s="25">
        <v>3.0119680333345861E-2</v>
      </c>
      <c r="G112" s="25">
        <v>-99</v>
      </c>
      <c r="H112" s="28"/>
      <c r="I112" s="12"/>
      <c r="K112" s="25">
        <f t="shared" si="13"/>
        <v>-99</v>
      </c>
      <c r="L112" s="25">
        <f t="shared" si="7"/>
        <v>-99</v>
      </c>
      <c r="M112" s="25">
        <f t="shared" si="8"/>
        <v>-99</v>
      </c>
      <c r="N112" s="25">
        <f t="shared" si="9"/>
        <v>-99</v>
      </c>
      <c r="O112" s="25">
        <f t="shared" si="10"/>
        <v>-99</v>
      </c>
      <c r="P112" s="25">
        <f t="shared" si="11"/>
        <v>-99</v>
      </c>
      <c r="Q112" s="25">
        <f t="shared" si="12"/>
        <v>-99</v>
      </c>
    </row>
    <row r="113" spans="1:17" x14ac:dyDescent="0.25">
      <c r="A113" s="1">
        <v>594</v>
      </c>
      <c r="B113" s="25">
        <v>4.0266589411990872E-4</v>
      </c>
      <c r="C113" s="25">
        <v>6.222308672415972E-4</v>
      </c>
      <c r="D113" s="25">
        <v>3.7176368451943059E-3</v>
      </c>
      <c r="E113" s="25">
        <v>3.0890880340045824E-2</v>
      </c>
      <c r="F113" s="25">
        <v>3.023347524295468E-2</v>
      </c>
      <c r="G113" s="25">
        <v>-99</v>
      </c>
      <c r="H113" s="28"/>
      <c r="I113" s="12"/>
      <c r="K113" s="25">
        <f t="shared" si="13"/>
        <v>-99</v>
      </c>
      <c r="L113" s="25">
        <f t="shared" si="7"/>
        <v>-99</v>
      </c>
      <c r="M113" s="25">
        <f t="shared" si="8"/>
        <v>-99</v>
      </c>
      <c r="N113" s="25">
        <f t="shared" si="9"/>
        <v>-99</v>
      </c>
      <c r="O113" s="25">
        <f t="shared" si="10"/>
        <v>-99</v>
      </c>
      <c r="P113" s="25">
        <f t="shared" si="11"/>
        <v>-99</v>
      </c>
      <c r="Q113" s="25">
        <f t="shared" si="12"/>
        <v>-99</v>
      </c>
    </row>
    <row r="114" spans="1:17" x14ac:dyDescent="0.25">
      <c r="A114" s="1">
        <v>596</v>
      </c>
      <c r="B114" s="25">
        <v>3.6725513011919562E-4</v>
      </c>
      <c r="C114" s="25">
        <v>5.6990996282986202E-4</v>
      </c>
      <c r="D114" s="25">
        <v>3.509605089011724E-3</v>
      </c>
      <c r="E114" s="25">
        <v>3.0865421963074877E-2</v>
      </c>
      <c r="F114" s="25">
        <v>3.0223433233372614E-2</v>
      </c>
      <c r="G114" s="25">
        <v>-99</v>
      </c>
      <c r="H114" s="28"/>
      <c r="I114" s="12"/>
      <c r="K114" s="25">
        <f t="shared" si="13"/>
        <v>-99</v>
      </c>
      <c r="L114" s="25">
        <f t="shared" si="7"/>
        <v>-99</v>
      </c>
      <c r="M114" s="25">
        <f t="shared" si="8"/>
        <v>-99</v>
      </c>
      <c r="N114" s="25">
        <f t="shared" si="9"/>
        <v>-99</v>
      </c>
      <c r="O114" s="25">
        <f t="shared" si="10"/>
        <v>-99</v>
      </c>
      <c r="P114" s="25">
        <f t="shared" si="11"/>
        <v>-99</v>
      </c>
      <c r="Q114" s="25">
        <f t="shared" si="12"/>
        <v>-99</v>
      </c>
    </row>
    <row r="115" spans="1:17" x14ac:dyDescent="0.25">
      <c r="A115" s="1">
        <v>598</v>
      </c>
      <c r="B115" s="25">
        <v>3.3215493602267032E-4</v>
      </c>
      <c r="C115" s="25">
        <v>5.1766235197788261E-4</v>
      </c>
      <c r="D115" s="25">
        <v>3.2932616031779178E-3</v>
      </c>
      <c r="E115" s="25">
        <v>3.0775333266238929E-2</v>
      </c>
      <c r="F115" s="25">
        <v>3.0155938494380169E-2</v>
      </c>
      <c r="G115" s="25">
        <v>-99</v>
      </c>
      <c r="H115" s="28"/>
      <c r="I115" s="12"/>
      <c r="K115" s="25">
        <f t="shared" si="13"/>
        <v>-99</v>
      </c>
      <c r="L115" s="25">
        <f t="shared" si="7"/>
        <v>-99</v>
      </c>
      <c r="M115" s="25">
        <f t="shared" si="8"/>
        <v>-99</v>
      </c>
      <c r="N115" s="25">
        <f t="shared" si="9"/>
        <v>-99</v>
      </c>
      <c r="O115" s="25">
        <f t="shared" si="10"/>
        <v>-99</v>
      </c>
      <c r="P115" s="25">
        <f t="shared" si="11"/>
        <v>-99</v>
      </c>
      <c r="Q115" s="25">
        <f t="shared" si="12"/>
        <v>-99</v>
      </c>
    </row>
    <row r="116" spans="1:17" x14ac:dyDescent="0.25">
      <c r="A116" s="1">
        <v>600</v>
      </c>
      <c r="B116" s="25">
        <v>2.7501745385670364E-4</v>
      </c>
      <c r="C116" s="25">
        <v>4.3066933504536808E-4</v>
      </c>
      <c r="D116" s="25">
        <v>2.8704122338697909E-3</v>
      </c>
      <c r="E116" s="25">
        <v>3.0137728229123403E-2</v>
      </c>
      <c r="F116" s="25">
        <v>2.9551571798542897E-2</v>
      </c>
      <c r="G116" s="25">
        <v>-99</v>
      </c>
      <c r="H116" s="28"/>
      <c r="I116" s="12"/>
      <c r="K116" s="25">
        <f t="shared" si="13"/>
        <v>-99</v>
      </c>
      <c r="L116" s="25">
        <f t="shared" si="7"/>
        <v>-99</v>
      </c>
      <c r="M116" s="25">
        <f t="shared" si="8"/>
        <v>-99</v>
      </c>
      <c r="N116" s="25">
        <f t="shared" si="9"/>
        <v>-99</v>
      </c>
      <c r="O116" s="25">
        <f t="shared" si="10"/>
        <v>-99</v>
      </c>
      <c r="P116" s="25">
        <f t="shared" si="11"/>
        <v>-99</v>
      </c>
      <c r="Q116" s="25">
        <f t="shared" si="12"/>
        <v>-99</v>
      </c>
    </row>
    <row r="117" spans="1:17" x14ac:dyDescent="0.25">
      <c r="A117" s="1">
        <v>602</v>
      </c>
      <c r="B117" s="25">
        <v>2.557712641759853E-4</v>
      </c>
      <c r="C117" s="25">
        <v>4.0211403191710033E-4</v>
      </c>
      <c r="D117" s="25">
        <v>2.7270022295124573E-3</v>
      </c>
      <c r="E117" s="25">
        <v>3.0035908668991355E-2</v>
      </c>
      <c r="F117" s="25">
        <v>2.9443807249252774E-2</v>
      </c>
      <c r="G117" s="25">
        <v>-99</v>
      </c>
      <c r="H117" s="28"/>
      <c r="I117" s="12"/>
      <c r="K117" s="25">
        <f t="shared" si="13"/>
        <v>-99</v>
      </c>
      <c r="L117" s="25">
        <f t="shared" si="7"/>
        <v>-99</v>
      </c>
      <c r="M117" s="25">
        <f t="shared" si="8"/>
        <v>-99</v>
      </c>
      <c r="N117" s="25">
        <f t="shared" si="9"/>
        <v>-99</v>
      </c>
      <c r="O117" s="25">
        <f t="shared" si="10"/>
        <v>-99</v>
      </c>
      <c r="P117" s="25">
        <f t="shared" si="11"/>
        <v>-99</v>
      </c>
      <c r="Q117" s="25">
        <f t="shared" si="12"/>
        <v>-99</v>
      </c>
    </row>
    <row r="118" spans="1:17" x14ac:dyDescent="0.25">
      <c r="A118" s="1">
        <v>604</v>
      </c>
      <c r="B118" s="25">
        <v>2.44562109372575E-4</v>
      </c>
      <c r="C118" s="25">
        <v>3.8592635715084333E-4</v>
      </c>
      <c r="D118" s="25">
        <v>2.643019353715882E-3</v>
      </c>
      <c r="E118" s="25">
        <v>3.0058456758002304E-2</v>
      </c>
      <c r="F118" s="25">
        <v>2.9447404801439467E-2</v>
      </c>
      <c r="G118" s="25">
        <v>-99</v>
      </c>
      <c r="H118" s="28"/>
      <c r="I118" s="12"/>
      <c r="K118" s="25">
        <f t="shared" si="13"/>
        <v>-99</v>
      </c>
      <c r="L118" s="25">
        <f t="shared" si="7"/>
        <v>-99</v>
      </c>
      <c r="M118" s="25">
        <f t="shared" si="8"/>
        <v>-99</v>
      </c>
      <c r="N118" s="25">
        <f t="shared" si="9"/>
        <v>-99</v>
      </c>
      <c r="O118" s="25">
        <f t="shared" si="10"/>
        <v>-99</v>
      </c>
      <c r="P118" s="25">
        <f t="shared" si="11"/>
        <v>-99</v>
      </c>
      <c r="Q118" s="25">
        <f t="shared" si="12"/>
        <v>-99</v>
      </c>
    </row>
    <row r="119" spans="1:17" x14ac:dyDescent="0.25">
      <c r="A119" s="1">
        <v>606</v>
      </c>
      <c r="B119" s="25">
        <v>2.2898406340246137E-4</v>
      </c>
      <c r="C119" s="25">
        <v>3.6274514517692916E-4</v>
      </c>
      <c r="D119" s="25">
        <v>2.5229019404915966E-3</v>
      </c>
      <c r="E119" s="25">
        <v>2.994968915225699E-2</v>
      </c>
      <c r="F119" s="25">
        <v>2.9332842500102471E-2</v>
      </c>
      <c r="G119" s="25">
        <v>-99</v>
      </c>
      <c r="H119" s="28"/>
      <c r="I119" s="12"/>
      <c r="K119" s="25">
        <f t="shared" si="13"/>
        <v>-99</v>
      </c>
      <c r="L119" s="25">
        <f t="shared" si="7"/>
        <v>-99</v>
      </c>
      <c r="M119" s="25">
        <f t="shared" si="8"/>
        <v>-99</v>
      </c>
      <c r="N119" s="25">
        <f t="shared" si="9"/>
        <v>-99</v>
      </c>
      <c r="O119" s="25">
        <f t="shared" si="10"/>
        <v>-99</v>
      </c>
      <c r="P119" s="25">
        <f t="shared" si="11"/>
        <v>-99</v>
      </c>
      <c r="Q119" s="25">
        <f t="shared" si="12"/>
        <v>-99</v>
      </c>
    </row>
    <row r="120" spans="1:17" x14ac:dyDescent="0.25">
      <c r="A120" s="1">
        <v>608</v>
      </c>
      <c r="B120" s="25">
        <v>2.2092004622637127E-4</v>
      </c>
      <c r="C120" s="25">
        <v>3.5126068430970465E-4</v>
      </c>
      <c r="D120" s="25">
        <v>2.4592719839523318E-3</v>
      </c>
      <c r="E120" s="25">
        <v>2.9982637444433129E-2</v>
      </c>
      <c r="F120" s="25">
        <v>2.9334722670900475E-2</v>
      </c>
      <c r="G120" s="25">
        <v>-99</v>
      </c>
      <c r="H120" s="28"/>
      <c r="I120" s="12"/>
      <c r="K120" s="25">
        <f t="shared" si="13"/>
        <v>-99</v>
      </c>
      <c r="L120" s="25">
        <f t="shared" si="7"/>
        <v>-99</v>
      </c>
      <c r="M120" s="25">
        <f t="shared" si="8"/>
        <v>-99</v>
      </c>
      <c r="N120" s="25">
        <f t="shared" si="9"/>
        <v>-99</v>
      </c>
      <c r="O120" s="25">
        <f t="shared" si="10"/>
        <v>-99</v>
      </c>
      <c r="P120" s="25">
        <f t="shared" si="11"/>
        <v>-99</v>
      </c>
      <c r="Q120" s="25">
        <f t="shared" si="12"/>
        <v>-99</v>
      </c>
    </row>
    <row r="121" spans="1:17" x14ac:dyDescent="0.25">
      <c r="A121" s="1">
        <v>610</v>
      </c>
      <c r="B121" s="25">
        <v>2.1549513352353694E-4</v>
      </c>
      <c r="C121" s="25">
        <v>3.4387728249713747E-4</v>
      </c>
      <c r="D121" s="25">
        <v>2.4195415881038827E-3</v>
      </c>
      <c r="E121" s="25">
        <v>3.0081572412506526E-2</v>
      </c>
      <c r="F121" s="25">
        <v>2.9401159059285812E-2</v>
      </c>
      <c r="G121" s="25">
        <v>-99</v>
      </c>
      <c r="H121" s="28"/>
      <c r="I121" s="12"/>
      <c r="K121" s="25">
        <f t="shared" si="13"/>
        <v>-99</v>
      </c>
      <c r="L121" s="25">
        <f t="shared" si="7"/>
        <v>-99</v>
      </c>
      <c r="M121" s="25">
        <f t="shared" si="8"/>
        <v>-99</v>
      </c>
      <c r="N121" s="25">
        <f t="shared" si="9"/>
        <v>-99</v>
      </c>
      <c r="O121" s="25">
        <f t="shared" si="10"/>
        <v>-99</v>
      </c>
      <c r="P121" s="25">
        <f t="shared" si="11"/>
        <v>-99</v>
      </c>
      <c r="Q121" s="25">
        <f t="shared" si="12"/>
        <v>-99</v>
      </c>
    </row>
    <row r="122" spans="1:17" x14ac:dyDescent="0.25">
      <c r="A122" s="1">
        <v>612</v>
      </c>
      <c r="B122" s="25">
        <v>2.1133693631718691E-4</v>
      </c>
      <c r="C122" s="25">
        <v>3.3843756033716569E-4</v>
      </c>
      <c r="D122" s="25">
        <v>2.3871591734228076E-3</v>
      </c>
      <c r="E122" s="25">
        <v>3.019406532169305E-2</v>
      </c>
      <c r="F122" s="25">
        <v>2.9474931661995919E-2</v>
      </c>
      <c r="G122" s="25">
        <v>-99</v>
      </c>
      <c r="H122" s="28"/>
      <c r="I122" s="12"/>
      <c r="K122" s="25">
        <f t="shared" si="13"/>
        <v>-99</v>
      </c>
      <c r="L122" s="25">
        <f t="shared" si="7"/>
        <v>-99</v>
      </c>
      <c r="M122" s="25">
        <f t="shared" si="8"/>
        <v>-99</v>
      </c>
      <c r="N122" s="25">
        <f t="shared" si="9"/>
        <v>-99</v>
      </c>
      <c r="O122" s="25">
        <f t="shared" si="10"/>
        <v>-99</v>
      </c>
      <c r="P122" s="25">
        <f t="shared" si="11"/>
        <v>-99</v>
      </c>
      <c r="Q122" s="25">
        <f t="shared" si="12"/>
        <v>-99</v>
      </c>
    </row>
    <row r="123" spans="1:17" x14ac:dyDescent="0.25">
      <c r="A123" s="1">
        <v>614</v>
      </c>
      <c r="B123" s="25">
        <v>2.0721453086101565E-4</v>
      </c>
      <c r="C123" s="25">
        <v>3.3302586014421413E-4</v>
      </c>
      <c r="D123" s="25">
        <v>2.3599153691973612E-3</v>
      </c>
      <c r="E123" s="25">
        <v>3.0320691560610076E-2</v>
      </c>
      <c r="F123" s="25">
        <v>2.9571712995648338E-2</v>
      </c>
      <c r="G123" s="25">
        <v>-99</v>
      </c>
      <c r="H123" s="28"/>
      <c r="I123" s="12"/>
      <c r="K123" s="25">
        <f t="shared" si="13"/>
        <v>-99</v>
      </c>
      <c r="L123" s="25">
        <f t="shared" si="7"/>
        <v>-99</v>
      </c>
      <c r="M123" s="25">
        <f t="shared" si="8"/>
        <v>-99</v>
      </c>
      <c r="N123" s="25">
        <f t="shared" si="9"/>
        <v>-99</v>
      </c>
      <c r="O123" s="25">
        <f t="shared" si="10"/>
        <v>-99</v>
      </c>
      <c r="P123" s="25">
        <f t="shared" si="11"/>
        <v>-99</v>
      </c>
      <c r="Q123" s="25">
        <f t="shared" si="12"/>
        <v>-99</v>
      </c>
    </row>
    <row r="124" spans="1:17" x14ac:dyDescent="0.25">
      <c r="A124" s="1">
        <v>616</v>
      </c>
      <c r="B124" s="25">
        <v>2.0327477864669704E-4</v>
      </c>
      <c r="C124" s="25">
        <v>3.2785160219658398E-4</v>
      </c>
      <c r="D124" s="25">
        <v>2.32796733537918E-3</v>
      </c>
      <c r="E124" s="25">
        <v>3.0416545639754627E-2</v>
      </c>
      <c r="F124" s="25">
        <v>2.9624661876212741E-2</v>
      </c>
      <c r="G124" s="25">
        <v>-99</v>
      </c>
      <c r="H124" s="28"/>
      <c r="I124" s="12"/>
      <c r="K124" s="25">
        <f t="shared" si="13"/>
        <v>-99</v>
      </c>
      <c r="L124" s="25">
        <f t="shared" si="7"/>
        <v>-99</v>
      </c>
      <c r="M124" s="25">
        <f t="shared" si="8"/>
        <v>-99</v>
      </c>
      <c r="N124" s="25">
        <f t="shared" si="9"/>
        <v>-99</v>
      </c>
      <c r="O124" s="25">
        <f t="shared" si="10"/>
        <v>-99</v>
      </c>
      <c r="P124" s="25">
        <f t="shared" si="11"/>
        <v>-99</v>
      </c>
      <c r="Q124" s="25">
        <f t="shared" si="12"/>
        <v>-99</v>
      </c>
    </row>
    <row r="125" spans="1:17" x14ac:dyDescent="0.25">
      <c r="A125" s="1">
        <v>618</v>
      </c>
      <c r="B125" s="25">
        <v>1.9965169508264594E-4</v>
      </c>
      <c r="C125" s="25">
        <v>3.2315210195411014E-4</v>
      </c>
      <c r="D125" s="25">
        <v>2.3077664662429108E-3</v>
      </c>
      <c r="E125" s="25">
        <v>3.0559241724767972E-2</v>
      </c>
      <c r="F125" s="25">
        <v>2.9748486556780637E-2</v>
      </c>
      <c r="G125" s="25">
        <v>-99</v>
      </c>
      <c r="H125" s="28"/>
      <c r="I125" s="12"/>
      <c r="K125" s="25">
        <f t="shared" si="13"/>
        <v>-99</v>
      </c>
      <c r="L125" s="25">
        <f t="shared" si="7"/>
        <v>-99</v>
      </c>
      <c r="M125" s="25">
        <f t="shared" si="8"/>
        <v>-99</v>
      </c>
      <c r="N125" s="25">
        <f t="shared" si="9"/>
        <v>-99</v>
      </c>
      <c r="O125" s="25">
        <f t="shared" si="10"/>
        <v>-99</v>
      </c>
      <c r="P125" s="25">
        <f t="shared" si="11"/>
        <v>-99</v>
      </c>
      <c r="Q125" s="25">
        <f t="shared" si="12"/>
        <v>-99</v>
      </c>
    </row>
    <row r="126" spans="1:17" x14ac:dyDescent="0.25">
      <c r="A126" s="1">
        <v>620</v>
      </c>
      <c r="B126" s="25">
        <v>1.9583801531822574E-4</v>
      </c>
      <c r="C126" s="25">
        <v>3.1809598756976843E-4</v>
      </c>
      <c r="D126" s="25">
        <v>2.2788477347784803E-3</v>
      </c>
      <c r="E126" s="25">
        <v>3.0654456164908486E-2</v>
      </c>
      <c r="F126" s="25">
        <v>2.9809906301171408E-2</v>
      </c>
      <c r="G126" s="25">
        <v>-99</v>
      </c>
      <c r="H126" s="28"/>
      <c r="I126" s="12"/>
      <c r="K126" s="25">
        <f t="shared" si="13"/>
        <v>-99</v>
      </c>
      <c r="L126" s="25">
        <f t="shared" si="7"/>
        <v>-99</v>
      </c>
      <c r="M126" s="25">
        <f t="shared" si="8"/>
        <v>-99</v>
      </c>
      <c r="N126" s="25">
        <f t="shared" si="9"/>
        <v>-99</v>
      </c>
      <c r="O126" s="25">
        <f t="shared" si="10"/>
        <v>-99</v>
      </c>
      <c r="P126" s="25">
        <f t="shared" si="11"/>
        <v>-99</v>
      </c>
      <c r="Q126" s="25">
        <f t="shared" si="12"/>
        <v>-99</v>
      </c>
    </row>
    <row r="127" spans="1:17" x14ac:dyDescent="0.25">
      <c r="A127" s="1">
        <v>622</v>
      </c>
      <c r="B127" s="25">
        <v>1.9185461266138149E-4</v>
      </c>
      <c r="C127" s="25">
        <v>3.1272948783166805E-4</v>
      </c>
      <c r="D127" s="25">
        <v>2.2568870277949551E-3</v>
      </c>
      <c r="E127" s="25">
        <v>3.0780539006202992E-2</v>
      </c>
      <c r="F127" s="25">
        <v>2.9928521072972239E-2</v>
      </c>
      <c r="G127" s="25">
        <v>-99</v>
      </c>
      <c r="H127" s="28"/>
      <c r="I127" s="12"/>
      <c r="K127" s="25">
        <f t="shared" si="13"/>
        <v>-99</v>
      </c>
      <c r="L127" s="25">
        <f t="shared" si="7"/>
        <v>-99</v>
      </c>
      <c r="M127" s="25">
        <f t="shared" si="8"/>
        <v>-99</v>
      </c>
      <c r="N127" s="25">
        <f t="shared" si="9"/>
        <v>-99</v>
      </c>
      <c r="O127" s="25">
        <f t="shared" si="10"/>
        <v>-99</v>
      </c>
      <c r="P127" s="25">
        <f t="shared" si="11"/>
        <v>-99</v>
      </c>
      <c r="Q127" s="25">
        <f t="shared" si="12"/>
        <v>-99</v>
      </c>
    </row>
    <row r="128" spans="1:17" x14ac:dyDescent="0.25">
      <c r="A128" s="1">
        <v>624</v>
      </c>
      <c r="B128" s="25">
        <v>1.8798391461317154E-4</v>
      </c>
      <c r="C128" s="25">
        <v>3.0750504475435015E-4</v>
      </c>
      <c r="D128" s="25">
        <v>2.2345772994713528E-3</v>
      </c>
      <c r="E128" s="25">
        <v>3.0897472256651643E-2</v>
      </c>
      <c r="F128" s="25">
        <v>3.0035142995121084E-2</v>
      </c>
      <c r="G128" s="25">
        <v>-99</v>
      </c>
      <c r="H128" s="28"/>
      <c r="I128" s="12"/>
      <c r="K128" s="25">
        <f t="shared" si="13"/>
        <v>-99</v>
      </c>
      <c r="L128" s="25">
        <f t="shared" si="7"/>
        <v>-99</v>
      </c>
      <c r="M128" s="25">
        <f t="shared" si="8"/>
        <v>-99</v>
      </c>
      <c r="N128" s="25">
        <f t="shared" si="9"/>
        <v>-99</v>
      </c>
      <c r="O128" s="25">
        <f t="shared" si="10"/>
        <v>-99</v>
      </c>
      <c r="P128" s="25">
        <f t="shared" si="11"/>
        <v>-99</v>
      </c>
      <c r="Q128" s="25">
        <f t="shared" si="12"/>
        <v>-99</v>
      </c>
    </row>
    <row r="129" spans="1:17" x14ac:dyDescent="0.25">
      <c r="A129" s="1">
        <v>626</v>
      </c>
      <c r="B129" s="25">
        <v>1.844755331147092E-4</v>
      </c>
      <c r="C129" s="25">
        <v>3.0283078054104529E-4</v>
      </c>
      <c r="D129" s="25">
        <v>2.2152019046258321E-3</v>
      </c>
      <c r="E129" s="25">
        <v>3.1020540438534371E-2</v>
      </c>
      <c r="F129" s="25">
        <v>3.0147658782195406E-2</v>
      </c>
      <c r="G129" s="25">
        <v>-99</v>
      </c>
      <c r="H129" s="28"/>
      <c r="I129" s="12"/>
      <c r="K129" s="25">
        <f t="shared" si="13"/>
        <v>-99</v>
      </c>
      <c r="L129" s="25">
        <f t="shared" si="7"/>
        <v>-99</v>
      </c>
      <c r="M129" s="25">
        <f t="shared" si="8"/>
        <v>-99</v>
      </c>
      <c r="N129" s="25">
        <f t="shared" si="9"/>
        <v>-99</v>
      </c>
      <c r="O129" s="25">
        <f t="shared" si="10"/>
        <v>-99</v>
      </c>
      <c r="P129" s="25">
        <f t="shared" si="11"/>
        <v>-99</v>
      </c>
      <c r="Q129" s="25">
        <f t="shared" si="12"/>
        <v>-99</v>
      </c>
    </row>
    <row r="130" spans="1:17" x14ac:dyDescent="0.25">
      <c r="A130" s="1">
        <v>628</v>
      </c>
      <c r="B130" s="25">
        <v>1.8081068900775252E-4</v>
      </c>
      <c r="C130" s="25">
        <v>2.9786350770124584E-4</v>
      </c>
      <c r="D130" s="25">
        <v>2.1929765214842504E-3</v>
      </c>
      <c r="E130" s="25">
        <v>3.1123691469761745E-2</v>
      </c>
      <c r="F130" s="25">
        <v>3.0237923738415426E-2</v>
      </c>
      <c r="G130" s="25">
        <v>-99</v>
      </c>
      <c r="H130" s="28"/>
      <c r="I130" s="12"/>
      <c r="K130" s="25">
        <f t="shared" si="13"/>
        <v>-99</v>
      </c>
      <c r="L130" s="25">
        <f t="shared" si="7"/>
        <v>-99</v>
      </c>
      <c r="M130" s="25">
        <f t="shared" si="8"/>
        <v>-99</v>
      </c>
      <c r="N130" s="25">
        <f t="shared" si="9"/>
        <v>-99</v>
      </c>
      <c r="O130" s="25">
        <f t="shared" si="10"/>
        <v>-99</v>
      </c>
      <c r="P130" s="25">
        <f t="shared" si="11"/>
        <v>-99</v>
      </c>
      <c r="Q130" s="25">
        <f t="shared" si="12"/>
        <v>-99</v>
      </c>
    </row>
    <row r="131" spans="1:17" x14ac:dyDescent="0.25">
      <c r="A131" s="1">
        <v>630</v>
      </c>
      <c r="B131" s="25">
        <v>1.7700708175071435E-4</v>
      </c>
      <c r="C131" s="25">
        <v>2.9261759899516787E-4</v>
      </c>
      <c r="D131" s="25">
        <v>2.1639227519796361E-3</v>
      </c>
      <c r="E131" s="25">
        <v>3.1183630652160198E-2</v>
      </c>
      <c r="F131" s="25">
        <v>3.0273931574452406E-2</v>
      </c>
      <c r="G131" s="25">
        <v>-99</v>
      </c>
      <c r="H131" s="28"/>
      <c r="I131" s="12"/>
      <c r="K131" s="25">
        <f t="shared" si="13"/>
        <v>-99</v>
      </c>
      <c r="L131" s="25">
        <f t="shared" si="7"/>
        <v>-99</v>
      </c>
      <c r="M131" s="25">
        <f t="shared" si="8"/>
        <v>-99</v>
      </c>
      <c r="N131" s="25">
        <f t="shared" si="9"/>
        <v>-99</v>
      </c>
      <c r="O131" s="25">
        <f t="shared" si="10"/>
        <v>-99</v>
      </c>
      <c r="P131" s="25">
        <f t="shared" si="11"/>
        <v>-99</v>
      </c>
      <c r="Q131" s="25">
        <f t="shared" si="12"/>
        <v>-99</v>
      </c>
    </row>
    <row r="132" spans="1:17" x14ac:dyDescent="0.25">
      <c r="A132" s="1">
        <v>632</v>
      </c>
      <c r="B132" s="25">
        <v>1.73315768369961E-4</v>
      </c>
      <c r="C132" s="25">
        <v>2.875159099748617E-4</v>
      </c>
      <c r="D132" s="25">
        <v>2.1356856513332747E-3</v>
      </c>
      <c r="E132" s="25">
        <v>3.1238976466267818E-2</v>
      </c>
      <c r="F132" s="25">
        <v>3.0305884512629354E-2</v>
      </c>
      <c r="G132" s="25">
        <v>-99</v>
      </c>
      <c r="H132" s="28"/>
      <c r="I132" s="12"/>
      <c r="K132" s="25">
        <f t="shared" si="13"/>
        <v>-99</v>
      </c>
      <c r="L132" s="25">
        <f t="shared" si="7"/>
        <v>-99</v>
      </c>
      <c r="M132" s="25">
        <f t="shared" si="8"/>
        <v>-99</v>
      </c>
      <c r="N132" s="25">
        <f t="shared" si="9"/>
        <v>-99</v>
      </c>
      <c r="O132" s="25">
        <f t="shared" si="10"/>
        <v>-99</v>
      </c>
      <c r="P132" s="25">
        <f t="shared" si="11"/>
        <v>-99</v>
      </c>
      <c r="Q132" s="25">
        <f t="shared" si="12"/>
        <v>-99</v>
      </c>
    </row>
    <row r="133" spans="1:17" x14ac:dyDescent="0.25">
      <c r="A133" s="1">
        <v>634</v>
      </c>
      <c r="B133" s="25">
        <v>1.7029477073605794E-4</v>
      </c>
      <c r="C133" s="25">
        <v>2.8349182857329225E-4</v>
      </c>
      <c r="D133" s="25">
        <v>2.1200894841011007E-3</v>
      </c>
      <c r="E133" s="25">
        <v>3.1355183054031378E-2</v>
      </c>
      <c r="F133" s="25">
        <v>3.0416456221271253E-2</v>
      </c>
      <c r="G133" s="25">
        <v>-99</v>
      </c>
      <c r="H133" s="28"/>
      <c r="I133" s="12"/>
      <c r="K133" s="25">
        <f t="shared" si="13"/>
        <v>-99</v>
      </c>
      <c r="L133" s="25">
        <f t="shared" si="7"/>
        <v>-99</v>
      </c>
      <c r="M133" s="25">
        <f t="shared" si="8"/>
        <v>-99</v>
      </c>
      <c r="N133" s="25">
        <f t="shared" si="9"/>
        <v>-99</v>
      </c>
      <c r="O133" s="25">
        <f t="shared" si="10"/>
        <v>-99</v>
      </c>
      <c r="P133" s="25">
        <f t="shared" si="11"/>
        <v>-99</v>
      </c>
      <c r="Q133" s="25">
        <f t="shared" si="12"/>
        <v>-99</v>
      </c>
    </row>
    <row r="134" spans="1:17" x14ac:dyDescent="0.25">
      <c r="A134" s="1">
        <v>636</v>
      </c>
      <c r="B134" s="25">
        <v>1.6712680180985579E-4</v>
      </c>
      <c r="C134" s="25">
        <v>2.791903998795003E-4</v>
      </c>
      <c r="D134" s="25">
        <v>2.1025401172558608E-3</v>
      </c>
      <c r="E134" s="25">
        <v>3.1456528100581777E-2</v>
      </c>
      <c r="F134" s="25">
        <v>3.0513326604856037E-2</v>
      </c>
      <c r="G134" s="25">
        <v>-99</v>
      </c>
      <c r="H134" s="28"/>
      <c r="I134" s="12"/>
      <c r="K134" s="25">
        <f t="shared" si="13"/>
        <v>-99</v>
      </c>
      <c r="L134" s="25">
        <f t="shared" si="7"/>
        <v>-99</v>
      </c>
      <c r="M134" s="25">
        <f t="shared" si="8"/>
        <v>-99</v>
      </c>
      <c r="N134" s="25">
        <f t="shared" si="9"/>
        <v>-99</v>
      </c>
      <c r="O134" s="25">
        <f t="shared" si="10"/>
        <v>-99</v>
      </c>
      <c r="P134" s="25">
        <f t="shared" si="11"/>
        <v>-99</v>
      </c>
      <c r="Q134" s="25">
        <f t="shared" si="12"/>
        <v>-99</v>
      </c>
    </row>
    <row r="135" spans="1:17" x14ac:dyDescent="0.25">
      <c r="A135" s="1">
        <v>638</v>
      </c>
      <c r="B135" s="25">
        <v>1.6345555912601137E-4</v>
      </c>
      <c r="C135" s="25">
        <v>2.7401291837682963E-4</v>
      </c>
      <c r="D135" s="25">
        <v>2.0800876748658004E-3</v>
      </c>
      <c r="E135" s="25">
        <v>3.1528851389698714E-2</v>
      </c>
      <c r="F135" s="25">
        <v>3.0587178905732541E-2</v>
      </c>
      <c r="G135" s="25">
        <v>-99</v>
      </c>
      <c r="H135" s="28"/>
      <c r="I135" s="12"/>
      <c r="K135" s="25">
        <f t="shared" si="13"/>
        <v>-99</v>
      </c>
      <c r="L135" s="25">
        <f t="shared" si="7"/>
        <v>-99</v>
      </c>
      <c r="M135" s="25">
        <f t="shared" si="8"/>
        <v>-99</v>
      </c>
      <c r="N135" s="25">
        <f t="shared" si="9"/>
        <v>-99</v>
      </c>
      <c r="O135" s="25">
        <f t="shared" si="10"/>
        <v>-99</v>
      </c>
      <c r="P135" s="25">
        <f t="shared" si="11"/>
        <v>-99</v>
      </c>
      <c r="Q135" s="25">
        <f t="shared" si="12"/>
        <v>-99</v>
      </c>
    </row>
    <row r="136" spans="1:17" x14ac:dyDescent="0.25">
      <c r="A136" s="1">
        <v>640</v>
      </c>
      <c r="B136" s="25">
        <v>1.600527035468751E-4</v>
      </c>
      <c r="C136" s="25">
        <v>2.6924404874886614E-4</v>
      </c>
      <c r="D136" s="25">
        <v>2.0597529496742075E-3</v>
      </c>
      <c r="E136" s="25">
        <v>3.1605292633118842E-2</v>
      </c>
      <c r="F136" s="25">
        <v>3.0665097890082885E-2</v>
      </c>
      <c r="G136" s="25">
        <v>-99</v>
      </c>
      <c r="H136" s="28"/>
      <c r="I136" s="12"/>
      <c r="K136" s="25">
        <f t="shared" si="13"/>
        <v>-99</v>
      </c>
      <c r="L136" s="25">
        <f t="shared" si="7"/>
        <v>-99</v>
      </c>
      <c r="M136" s="25">
        <f t="shared" si="8"/>
        <v>-99</v>
      </c>
      <c r="N136" s="25">
        <f t="shared" si="9"/>
        <v>-99</v>
      </c>
      <c r="O136" s="25">
        <f t="shared" si="10"/>
        <v>-99</v>
      </c>
      <c r="P136" s="25">
        <f t="shared" si="11"/>
        <v>-99</v>
      </c>
      <c r="Q136" s="25">
        <f t="shared" si="12"/>
        <v>-99</v>
      </c>
    </row>
    <row r="137" spans="1:17" x14ac:dyDescent="0.25">
      <c r="A137" s="1">
        <v>642</v>
      </c>
      <c r="B137" s="25">
        <v>1.5684877274441651E-4</v>
      </c>
      <c r="C137" s="25">
        <v>2.6476876045747187E-4</v>
      </c>
      <c r="D137" s="25">
        <v>2.0423885935528323E-3</v>
      </c>
      <c r="E137" s="25">
        <v>3.1693888483322344E-2</v>
      </c>
      <c r="F137" s="25">
        <v>3.0762424170700482E-2</v>
      </c>
      <c r="G137" s="25">
        <v>-99</v>
      </c>
      <c r="H137" s="28"/>
      <c r="I137" s="12"/>
      <c r="K137" s="25">
        <f t="shared" si="13"/>
        <v>-99</v>
      </c>
      <c r="L137" s="25">
        <f t="shared" si="7"/>
        <v>-99</v>
      </c>
      <c r="M137" s="25">
        <f t="shared" si="8"/>
        <v>-99</v>
      </c>
      <c r="N137" s="25">
        <f t="shared" si="9"/>
        <v>-99</v>
      </c>
      <c r="O137" s="25">
        <f t="shared" si="10"/>
        <v>-99</v>
      </c>
      <c r="P137" s="25">
        <f t="shared" si="11"/>
        <v>-99</v>
      </c>
      <c r="Q137" s="25">
        <f t="shared" si="12"/>
        <v>-99</v>
      </c>
    </row>
    <row r="138" spans="1:17" x14ac:dyDescent="0.25">
      <c r="A138" s="1">
        <v>644</v>
      </c>
      <c r="B138" s="25">
        <v>1.5354200765805252E-4</v>
      </c>
      <c r="C138" s="25">
        <v>2.6008304268711733E-4</v>
      </c>
      <c r="D138" s="25">
        <v>2.0240121666493314E-3</v>
      </c>
      <c r="E138" s="25">
        <v>3.1772730913605683E-2</v>
      </c>
      <c r="F138" s="25">
        <v>3.0854644481005219E-2</v>
      </c>
      <c r="G138" s="25">
        <v>-99</v>
      </c>
      <c r="H138" s="28"/>
      <c r="I138" s="12"/>
      <c r="K138" s="25">
        <f t="shared" si="13"/>
        <v>-99</v>
      </c>
      <c r="L138" s="25">
        <f t="shared" si="7"/>
        <v>-99</v>
      </c>
      <c r="M138" s="25">
        <f t="shared" si="8"/>
        <v>-99</v>
      </c>
      <c r="N138" s="25">
        <f t="shared" si="9"/>
        <v>-99</v>
      </c>
      <c r="O138" s="25">
        <f t="shared" si="10"/>
        <v>-99</v>
      </c>
      <c r="P138" s="25">
        <f t="shared" si="11"/>
        <v>-99</v>
      </c>
      <c r="Q138" s="25">
        <f t="shared" si="12"/>
        <v>-99</v>
      </c>
    </row>
    <row r="139" spans="1:17" x14ac:dyDescent="0.25">
      <c r="A139" s="1">
        <v>646</v>
      </c>
      <c r="B139" s="25">
        <v>1.5010218592615196E-4</v>
      </c>
      <c r="C139" s="25">
        <v>2.5513808726586941E-4</v>
      </c>
      <c r="D139" s="25">
        <v>2.0020424490253732E-3</v>
      </c>
      <c r="E139" s="25">
        <v>3.1823029103219845E-2</v>
      </c>
      <c r="F139" s="25">
        <v>3.0912508508886407E-2</v>
      </c>
      <c r="G139" s="25">
        <v>-99</v>
      </c>
      <c r="H139" s="28"/>
      <c r="I139" s="12"/>
      <c r="K139" s="25">
        <f t="shared" si="13"/>
        <v>-99</v>
      </c>
      <c r="L139" s="25">
        <f t="shared" si="7"/>
        <v>-99</v>
      </c>
      <c r="M139" s="25">
        <f t="shared" si="8"/>
        <v>-99</v>
      </c>
      <c r="N139" s="25">
        <f t="shared" si="9"/>
        <v>-99</v>
      </c>
      <c r="O139" s="25">
        <f t="shared" si="10"/>
        <v>-99</v>
      </c>
      <c r="P139" s="25">
        <f t="shared" si="11"/>
        <v>-99</v>
      </c>
      <c r="Q139" s="25">
        <f t="shared" si="12"/>
        <v>-99</v>
      </c>
    </row>
    <row r="140" spans="1:17" x14ac:dyDescent="0.25">
      <c r="A140" s="1">
        <v>648</v>
      </c>
      <c r="B140" s="25">
        <v>1.4686327450269052E-4</v>
      </c>
      <c r="C140" s="25">
        <v>2.504983460207048E-4</v>
      </c>
      <c r="D140" s="25">
        <v>1.9801799228692197E-3</v>
      </c>
      <c r="E140" s="25">
        <v>3.1864383234993437E-2</v>
      </c>
      <c r="F140" s="25">
        <v>3.0954468538908118E-2</v>
      </c>
      <c r="G140" s="25">
        <v>-99</v>
      </c>
      <c r="H140" s="28"/>
      <c r="I140" s="12"/>
      <c r="K140" s="25">
        <f t="shared" si="13"/>
        <v>-99</v>
      </c>
      <c r="L140" s="25">
        <f t="shared" si="7"/>
        <v>-99</v>
      </c>
      <c r="M140" s="25">
        <f t="shared" si="8"/>
        <v>-99</v>
      </c>
      <c r="N140" s="25">
        <f t="shared" si="9"/>
        <v>-99</v>
      </c>
      <c r="O140" s="25">
        <f t="shared" si="10"/>
        <v>-99</v>
      </c>
      <c r="P140" s="25">
        <f t="shared" si="11"/>
        <v>-99</v>
      </c>
      <c r="Q140" s="25">
        <f t="shared" si="12"/>
        <v>-99</v>
      </c>
    </row>
    <row r="141" spans="1:17" x14ac:dyDescent="0.25">
      <c r="A141" s="1">
        <v>650</v>
      </c>
      <c r="B141" s="25">
        <v>1.4320553446944638E-4</v>
      </c>
      <c r="C141" s="25">
        <v>2.4510412176224363E-4</v>
      </c>
      <c r="D141" s="25">
        <v>1.947368721201288E-3</v>
      </c>
      <c r="E141" s="25">
        <v>3.1826178803816003E-2</v>
      </c>
      <c r="F141" s="25">
        <v>3.0898401182686774E-2</v>
      </c>
      <c r="G141" s="25">
        <v>-99</v>
      </c>
      <c r="H141" s="28"/>
      <c r="I141" s="12"/>
      <c r="K141" s="25">
        <f t="shared" si="13"/>
        <v>-99</v>
      </c>
      <c r="L141" s="25">
        <f t="shared" si="7"/>
        <v>-99</v>
      </c>
      <c r="M141" s="25">
        <f t="shared" si="8"/>
        <v>-99</v>
      </c>
      <c r="N141" s="25">
        <f t="shared" si="9"/>
        <v>-99</v>
      </c>
      <c r="O141" s="25">
        <f t="shared" si="10"/>
        <v>-99</v>
      </c>
      <c r="P141" s="25">
        <f t="shared" si="11"/>
        <v>-99</v>
      </c>
      <c r="Q141" s="25">
        <f t="shared" si="12"/>
        <v>-99</v>
      </c>
    </row>
    <row r="142" spans="1:17" x14ac:dyDescent="0.25">
      <c r="A142" s="1">
        <v>652</v>
      </c>
      <c r="B142" s="25">
        <v>1.3988856308503166E-4</v>
      </c>
      <c r="C142" s="25">
        <v>2.4025127766403304E-4</v>
      </c>
      <c r="D142" s="25">
        <v>1.9179564246027477E-3</v>
      </c>
      <c r="E142" s="25">
        <v>3.1798146471681707E-2</v>
      </c>
      <c r="F142" s="25">
        <v>3.0852143173757767E-2</v>
      </c>
      <c r="G142" s="25">
        <v>-99</v>
      </c>
      <c r="H142" s="28"/>
      <c r="I142" s="12"/>
      <c r="K142" s="25">
        <f t="shared" si="13"/>
        <v>-99</v>
      </c>
      <c r="L142" s="25">
        <f t="shared" si="7"/>
        <v>-99</v>
      </c>
      <c r="M142" s="25">
        <f t="shared" si="8"/>
        <v>-99</v>
      </c>
      <c r="N142" s="25">
        <f t="shared" si="9"/>
        <v>-99</v>
      </c>
      <c r="O142" s="25">
        <f t="shared" si="10"/>
        <v>-99</v>
      </c>
      <c r="P142" s="25">
        <f t="shared" si="11"/>
        <v>-99</v>
      </c>
      <c r="Q142" s="25">
        <f t="shared" si="12"/>
        <v>-99</v>
      </c>
    </row>
    <row r="143" spans="1:17" x14ac:dyDescent="0.25">
      <c r="A143" s="1">
        <v>654</v>
      </c>
      <c r="B143" s="25">
        <v>1.3612465733503311E-4</v>
      </c>
      <c r="C143" s="25">
        <v>2.3458136383943063E-4</v>
      </c>
      <c r="D143" s="25">
        <v>1.8750740906787959E-3</v>
      </c>
      <c r="E143" s="25">
        <v>3.1664849692122334E-2</v>
      </c>
      <c r="F143" s="25">
        <v>3.0675993647331968E-2</v>
      </c>
      <c r="G143" s="25">
        <v>-99</v>
      </c>
      <c r="H143" s="28"/>
      <c r="I143" s="12"/>
      <c r="K143" s="25">
        <f t="shared" si="13"/>
        <v>-99</v>
      </c>
      <c r="L143" s="25">
        <f t="shared" si="7"/>
        <v>-99</v>
      </c>
      <c r="M143" s="25">
        <f t="shared" si="8"/>
        <v>-99</v>
      </c>
      <c r="N143" s="25">
        <f t="shared" si="9"/>
        <v>-99</v>
      </c>
      <c r="O143" s="25">
        <f t="shared" si="10"/>
        <v>-99</v>
      </c>
      <c r="P143" s="25">
        <f t="shared" si="11"/>
        <v>-99</v>
      </c>
      <c r="Q143" s="25">
        <f t="shared" si="12"/>
        <v>-99</v>
      </c>
    </row>
    <row r="144" spans="1:17" x14ac:dyDescent="0.25">
      <c r="A144" s="1">
        <v>656</v>
      </c>
      <c r="B144" s="25">
        <v>1.3160642899981702E-4</v>
      </c>
      <c r="C144" s="25">
        <v>2.2755821087447328E-4</v>
      </c>
      <c r="D144" s="25">
        <v>1.8168072250887197E-3</v>
      </c>
      <c r="E144" s="25">
        <v>3.1405771495955581E-2</v>
      </c>
      <c r="F144" s="25">
        <v>3.0355774374296554E-2</v>
      </c>
      <c r="G144" s="25">
        <v>-99</v>
      </c>
      <c r="H144" s="28"/>
      <c r="I144" s="12"/>
      <c r="K144" s="25">
        <f t="shared" si="13"/>
        <v>-99</v>
      </c>
      <c r="L144" s="25">
        <f t="shared" ref="L144:L207" si="14">IF(L$13,C144,-99)</f>
        <v>-99</v>
      </c>
      <c r="M144" s="25">
        <f t="shared" ref="M144:M207" si="15">IF(M$13,D144,-99)</f>
        <v>-99</v>
      </c>
      <c r="N144" s="25">
        <f t="shared" ref="N144:N207" si="16">IF(N$13,E144,-99)</f>
        <v>-99</v>
      </c>
      <c r="O144" s="25">
        <f t="shared" ref="O144:O207" si="17">IF(O$13,F144,-99)</f>
        <v>-99</v>
      </c>
      <c r="P144" s="25">
        <f t="shared" ref="P144:P207" si="18">IF(P$13,G144,-99)</f>
        <v>-99</v>
      </c>
      <c r="Q144" s="25">
        <f t="shared" ref="Q144:Q207" si="19">IF(Q$13,H144,-99)</f>
        <v>-99</v>
      </c>
    </row>
    <row r="145" spans="1:17" x14ac:dyDescent="0.25">
      <c r="A145" s="1">
        <v>658</v>
      </c>
      <c r="B145" s="25">
        <v>1.2581631388929607E-4</v>
      </c>
      <c r="C145" s="25">
        <v>2.182695241280087E-4</v>
      </c>
      <c r="D145" s="25">
        <v>1.7363687571795852E-3</v>
      </c>
      <c r="E145" s="25">
        <v>3.0956375429987307E-2</v>
      </c>
      <c r="F145" s="25">
        <v>2.9827004435320627E-2</v>
      </c>
      <c r="G145" s="25">
        <v>-99</v>
      </c>
      <c r="H145" s="28"/>
      <c r="I145" s="12"/>
      <c r="K145" s="25">
        <f t="shared" ref="K145:K208" si="20">IF(K$13,B145,-99)</f>
        <v>-99</v>
      </c>
      <c r="L145" s="25">
        <f t="shared" si="14"/>
        <v>-99</v>
      </c>
      <c r="M145" s="25">
        <f t="shared" si="15"/>
        <v>-99</v>
      </c>
      <c r="N145" s="25">
        <f t="shared" si="16"/>
        <v>-99</v>
      </c>
      <c r="O145" s="25">
        <f t="shared" si="17"/>
        <v>-99</v>
      </c>
      <c r="P145" s="25">
        <f t="shared" si="18"/>
        <v>-99</v>
      </c>
      <c r="Q145" s="25">
        <f t="shared" si="19"/>
        <v>-99</v>
      </c>
    </row>
    <row r="146" spans="1:17" x14ac:dyDescent="0.25">
      <c r="A146" s="1">
        <v>660</v>
      </c>
      <c r="B146" s="25">
        <v>1.1957908417300266E-4</v>
      </c>
      <c r="C146" s="25">
        <v>2.0812902310568922E-4</v>
      </c>
      <c r="D146" s="25">
        <v>1.6498825348801964E-3</v>
      </c>
      <c r="E146" s="25">
        <v>3.0417440199348139E-2</v>
      </c>
      <c r="F146" s="25">
        <v>2.9213737689373409E-2</v>
      </c>
      <c r="G146" s="25">
        <v>-99</v>
      </c>
      <c r="H146" s="28"/>
      <c r="I146" s="12"/>
      <c r="K146" s="25">
        <f t="shared" si="20"/>
        <v>-99</v>
      </c>
      <c r="L146" s="25">
        <f t="shared" si="14"/>
        <v>-99</v>
      </c>
      <c r="M146" s="25">
        <f t="shared" si="15"/>
        <v>-99</v>
      </c>
      <c r="N146" s="25">
        <f t="shared" si="16"/>
        <v>-99</v>
      </c>
      <c r="O146" s="25">
        <f t="shared" si="17"/>
        <v>-99</v>
      </c>
      <c r="P146" s="25">
        <f t="shared" si="18"/>
        <v>-99</v>
      </c>
      <c r="Q146" s="25">
        <f t="shared" si="19"/>
        <v>-99</v>
      </c>
    </row>
    <row r="147" spans="1:17" x14ac:dyDescent="0.25">
      <c r="A147" s="1">
        <v>662</v>
      </c>
      <c r="B147" s="25">
        <v>1.1427832438593911E-4</v>
      </c>
      <c r="C147" s="25">
        <v>1.9952958070758271E-4</v>
      </c>
      <c r="D147" s="25">
        <v>1.5713594030823019E-3</v>
      </c>
      <c r="E147" s="25">
        <v>2.988583722874328E-2</v>
      </c>
      <c r="F147" s="25">
        <v>2.8600448016679707E-2</v>
      </c>
      <c r="G147" s="25">
        <v>-99</v>
      </c>
      <c r="H147" s="28"/>
      <c r="I147" s="12"/>
      <c r="K147" s="25">
        <f t="shared" si="20"/>
        <v>-99</v>
      </c>
      <c r="L147" s="25">
        <f t="shared" si="14"/>
        <v>-99</v>
      </c>
      <c r="M147" s="25">
        <f t="shared" si="15"/>
        <v>-99</v>
      </c>
      <c r="N147" s="25">
        <f t="shared" si="16"/>
        <v>-99</v>
      </c>
      <c r="O147" s="25">
        <f t="shared" si="17"/>
        <v>-99</v>
      </c>
      <c r="P147" s="25">
        <f t="shared" si="18"/>
        <v>-99</v>
      </c>
      <c r="Q147" s="25">
        <f t="shared" si="19"/>
        <v>-99</v>
      </c>
    </row>
    <row r="148" spans="1:17" x14ac:dyDescent="0.25">
      <c r="A148" s="1">
        <v>664</v>
      </c>
      <c r="B148" s="25">
        <v>1.1076750014776006E-4</v>
      </c>
      <c r="C148" s="25">
        <v>1.939872029747538E-4</v>
      </c>
      <c r="D148" s="25">
        <v>1.5147008291312917E-3</v>
      </c>
      <c r="E148" s="25">
        <v>2.9494280123249197E-2</v>
      </c>
      <c r="F148" s="25">
        <v>2.8127761649953946E-2</v>
      </c>
      <c r="G148" s="25">
        <v>-99</v>
      </c>
      <c r="H148" s="28"/>
      <c r="I148" s="12"/>
      <c r="K148" s="25">
        <f t="shared" si="20"/>
        <v>-99</v>
      </c>
      <c r="L148" s="25">
        <f t="shared" si="14"/>
        <v>-99</v>
      </c>
      <c r="M148" s="25">
        <f t="shared" si="15"/>
        <v>-99</v>
      </c>
      <c r="N148" s="25">
        <f t="shared" si="16"/>
        <v>-99</v>
      </c>
      <c r="O148" s="25">
        <f t="shared" si="17"/>
        <v>-99</v>
      </c>
      <c r="P148" s="25">
        <f t="shared" si="18"/>
        <v>-99</v>
      </c>
      <c r="Q148" s="25">
        <f t="shared" si="19"/>
        <v>-99</v>
      </c>
    </row>
    <row r="149" spans="1:17" x14ac:dyDescent="0.25">
      <c r="A149" s="1">
        <v>666</v>
      </c>
      <c r="B149" s="25">
        <v>1.0834195416832746E-4</v>
      </c>
      <c r="C149" s="25">
        <v>1.9029450399003095E-4</v>
      </c>
      <c r="D149" s="25">
        <v>1.4682820102788767E-3</v>
      </c>
      <c r="E149" s="25">
        <v>2.9159407495771929E-2</v>
      </c>
      <c r="F149" s="25">
        <v>2.7699848532748084E-2</v>
      </c>
      <c r="G149" s="25">
        <v>-99</v>
      </c>
      <c r="H149" s="28"/>
      <c r="I149" s="12"/>
      <c r="K149" s="25">
        <f t="shared" si="20"/>
        <v>-99</v>
      </c>
      <c r="L149" s="25">
        <f t="shared" si="14"/>
        <v>-99</v>
      </c>
      <c r="M149" s="25">
        <f t="shared" si="15"/>
        <v>-99</v>
      </c>
      <c r="N149" s="25">
        <f t="shared" si="16"/>
        <v>-99</v>
      </c>
      <c r="O149" s="25">
        <f t="shared" si="17"/>
        <v>-99</v>
      </c>
      <c r="P149" s="25">
        <f t="shared" si="18"/>
        <v>-99</v>
      </c>
      <c r="Q149" s="25">
        <f t="shared" si="19"/>
        <v>-99</v>
      </c>
    </row>
    <row r="150" spans="1:17" x14ac:dyDescent="0.25">
      <c r="A150" s="1">
        <v>668</v>
      </c>
      <c r="B150" s="25">
        <v>1.0669079859132623E-4</v>
      </c>
      <c r="C150" s="25">
        <v>1.879439862461738E-4</v>
      </c>
      <c r="D150" s="25">
        <v>1.4361696851516942E-3</v>
      </c>
      <c r="E150" s="25">
        <v>2.8942097216621984E-2</v>
      </c>
      <c r="F150" s="25">
        <v>2.7406694649842363E-2</v>
      </c>
      <c r="G150" s="25">
        <v>-99</v>
      </c>
      <c r="H150" s="28"/>
      <c r="I150" s="12"/>
      <c r="K150" s="25">
        <f t="shared" si="20"/>
        <v>-99</v>
      </c>
      <c r="L150" s="25">
        <f t="shared" si="14"/>
        <v>-99</v>
      </c>
      <c r="M150" s="25">
        <f t="shared" si="15"/>
        <v>-99</v>
      </c>
      <c r="N150" s="25">
        <f t="shared" si="16"/>
        <v>-99</v>
      </c>
      <c r="O150" s="25">
        <f t="shared" si="17"/>
        <v>-99</v>
      </c>
      <c r="P150" s="25">
        <f t="shared" si="18"/>
        <v>-99</v>
      </c>
      <c r="Q150" s="25">
        <f t="shared" si="19"/>
        <v>-99</v>
      </c>
    </row>
    <row r="151" spans="1:17" x14ac:dyDescent="0.25">
      <c r="A151" s="1">
        <v>670</v>
      </c>
      <c r="B151" s="25">
        <v>1.0512651601109213E-4</v>
      </c>
      <c r="C151" s="25">
        <v>1.8573915811706469E-4</v>
      </c>
      <c r="D151" s="25">
        <v>1.410175513479502E-3</v>
      </c>
      <c r="E151" s="25">
        <v>2.8777806732704175E-2</v>
      </c>
      <c r="F151" s="25">
        <v>2.7185984543584597E-2</v>
      </c>
      <c r="G151" s="25">
        <v>2.7185984543584597E-2</v>
      </c>
      <c r="H151" s="28"/>
      <c r="I151" s="12"/>
      <c r="K151" s="25">
        <f t="shared" si="20"/>
        <v>-99</v>
      </c>
      <c r="L151" s="25">
        <f t="shared" si="14"/>
        <v>-99</v>
      </c>
      <c r="M151" s="25">
        <f t="shared" si="15"/>
        <v>-99</v>
      </c>
      <c r="N151" s="25">
        <f t="shared" si="16"/>
        <v>-99</v>
      </c>
      <c r="O151" s="25">
        <f t="shared" si="17"/>
        <v>-99</v>
      </c>
      <c r="P151" s="25">
        <f t="shared" si="18"/>
        <v>-99</v>
      </c>
      <c r="Q151" s="25">
        <f t="shared" si="19"/>
        <v>-99</v>
      </c>
    </row>
    <row r="152" spans="1:17" x14ac:dyDescent="0.25">
      <c r="A152" s="1">
        <v>672</v>
      </c>
      <c r="B152" s="25">
        <v>1.034980801309414E-4</v>
      </c>
      <c r="C152" s="25">
        <v>1.8343543650565798E-4</v>
      </c>
      <c r="D152" s="25">
        <v>1.3916824315939641E-3</v>
      </c>
      <c r="E152" s="25">
        <v>2.8687944032759146E-2</v>
      </c>
      <c r="F152" s="25">
        <v>2.7065179651402805E-2</v>
      </c>
      <c r="G152" s="25">
        <v>-99</v>
      </c>
      <c r="H152" s="28"/>
      <c r="I152" s="12"/>
      <c r="K152" s="25">
        <f t="shared" si="20"/>
        <v>-99</v>
      </c>
      <c r="L152" s="25">
        <f t="shared" si="14"/>
        <v>-99</v>
      </c>
      <c r="M152" s="25">
        <f t="shared" si="15"/>
        <v>-99</v>
      </c>
      <c r="N152" s="25">
        <f t="shared" si="16"/>
        <v>-99</v>
      </c>
      <c r="O152" s="25">
        <f t="shared" si="17"/>
        <v>-99</v>
      </c>
      <c r="P152" s="25">
        <f t="shared" si="18"/>
        <v>-99</v>
      </c>
      <c r="Q152" s="25">
        <f t="shared" si="19"/>
        <v>-99</v>
      </c>
    </row>
    <row r="153" spans="1:17" x14ac:dyDescent="0.25">
      <c r="A153" s="1">
        <v>674</v>
      </c>
      <c r="B153" s="25">
        <v>1.0202892313284879E-4</v>
      </c>
      <c r="C153" s="25">
        <v>1.814163565532876E-4</v>
      </c>
      <c r="D153" s="25">
        <v>1.3818089025362484E-3</v>
      </c>
      <c r="E153" s="25">
        <v>2.8687175636334716E-2</v>
      </c>
      <c r="F153" s="25">
        <v>2.7057578930732216E-2</v>
      </c>
      <c r="G153" s="25">
        <v>-99</v>
      </c>
      <c r="H153" s="28"/>
      <c r="I153" s="12"/>
      <c r="K153" s="25">
        <f t="shared" si="20"/>
        <v>-99</v>
      </c>
      <c r="L153" s="25">
        <f t="shared" si="14"/>
        <v>-99</v>
      </c>
      <c r="M153" s="25">
        <f t="shared" si="15"/>
        <v>-99</v>
      </c>
      <c r="N153" s="25">
        <f t="shared" si="16"/>
        <v>-99</v>
      </c>
      <c r="O153" s="25">
        <f t="shared" si="17"/>
        <v>-99</v>
      </c>
      <c r="P153" s="25">
        <f t="shared" si="18"/>
        <v>-99</v>
      </c>
      <c r="Q153" s="25">
        <f t="shared" si="19"/>
        <v>-99</v>
      </c>
    </row>
    <row r="154" spans="1:17" x14ac:dyDescent="0.25">
      <c r="A154" s="1">
        <v>676</v>
      </c>
      <c r="B154" s="25">
        <v>9.9951151591659384E-5</v>
      </c>
      <c r="C154" s="25">
        <v>1.783328753214977E-4</v>
      </c>
      <c r="D154" s="25">
        <v>1.3724405921257486E-3</v>
      </c>
      <c r="E154" s="25">
        <v>2.8699662190055063E-2</v>
      </c>
      <c r="F154" s="25">
        <v>2.7089508687379325E-2</v>
      </c>
      <c r="G154" s="25">
        <v>-99</v>
      </c>
      <c r="H154" s="28"/>
      <c r="I154" s="12"/>
      <c r="K154" s="25">
        <f t="shared" si="20"/>
        <v>-99</v>
      </c>
      <c r="L154" s="25">
        <f t="shared" si="14"/>
        <v>-99</v>
      </c>
      <c r="M154" s="25">
        <f t="shared" si="15"/>
        <v>-99</v>
      </c>
      <c r="N154" s="25">
        <f t="shared" si="16"/>
        <v>-99</v>
      </c>
      <c r="O154" s="25">
        <f t="shared" si="17"/>
        <v>-99</v>
      </c>
      <c r="P154" s="25">
        <f t="shared" si="18"/>
        <v>-99</v>
      </c>
      <c r="Q154" s="25">
        <f t="shared" si="19"/>
        <v>-99</v>
      </c>
    </row>
    <row r="155" spans="1:17" x14ac:dyDescent="0.25">
      <c r="A155" s="1">
        <v>678</v>
      </c>
      <c r="B155" s="25">
        <v>9.8007602108916042E-5</v>
      </c>
      <c r="C155" s="25">
        <v>1.7549921486520719E-4</v>
      </c>
      <c r="D155" s="25">
        <v>1.3715419344210761E-3</v>
      </c>
      <c r="E155" s="25">
        <v>2.8803236985227763E-2</v>
      </c>
      <c r="F155" s="25">
        <v>2.7231775889882449E-2</v>
      </c>
      <c r="G155" s="25">
        <v>-99</v>
      </c>
      <c r="H155" s="28"/>
      <c r="I155" s="12"/>
      <c r="K155" s="25">
        <f t="shared" si="20"/>
        <v>-99</v>
      </c>
      <c r="L155" s="25">
        <f t="shared" si="14"/>
        <v>-99</v>
      </c>
      <c r="M155" s="25">
        <f t="shared" si="15"/>
        <v>-99</v>
      </c>
      <c r="N155" s="25">
        <f t="shared" si="16"/>
        <v>-99</v>
      </c>
      <c r="O155" s="25">
        <f t="shared" si="17"/>
        <v>-99</v>
      </c>
      <c r="P155" s="25">
        <f t="shared" si="18"/>
        <v>-99</v>
      </c>
      <c r="Q155" s="25">
        <f t="shared" si="19"/>
        <v>-99</v>
      </c>
    </row>
    <row r="156" spans="1:17" x14ac:dyDescent="0.25">
      <c r="A156" s="1">
        <v>680</v>
      </c>
      <c r="B156" s="25">
        <v>9.6099028846095139E-5</v>
      </c>
      <c r="C156" s="25">
        <v>1.7272572863990355E-4</v>
      </c>
      <c r="D156" s="25">
        <v>1.3757450403966119E-3</v>
      </c>
      <c r="E156" s="25">
        <v>2.8963932102063286E-2</v>
      </c>
      <c r="F156" s="25">
        <v>2.7447454213251794E-2</v>
      </c>
      <c r="G156" s="25">
        <v>-99</v>
      </c>
      <c r="H156" s="28"/>
      <c r="I156" s="12"/>
      <c r="K156" s="25">
        <f t="shared" si="20"/>
        <v>-99</v>
      </c>
      <c r="L156" s="25">
        <f t="shared" si="14"/>
        <v>-99</v>
      </c>
      <c r="M156" s="25">
        <f t="shared" si="15"/>
        <v>-99</v>
      </c>
      <c r="N156" s="25">
        <f t="shared" si="16"/>
        <v>-99</v>
      </c>
      <c r="O156" s="25">
        <f t="shared" si="17"/>
        <v>-99</v>
      </c>
      <c r="P156" s="25">
        <f t="shared" si="18"/>
        <v>-99</v>
      </c>
      <c r="Q156" s="25">
        <f t="shared" si="19"/>
        <v>-99</v>
      </c>
    </row>
    <row r="157" spans="1:17" x14ac:dyDescent="0.25">
      <c r="A157" s="1">
        <v>682</v>
      </c>
      <c r="B157" s="25">
        <v>9.392561945966357E-5</v>
      </c>
      <c r="C157" s="25">
        <v>1.6948010924066251E-4</v>
      </c>
      <c r="D157" s="25">
        <v>1.3825139640894924E-3</v>
      </c>
      <c r="E157" s="25">
        <v>2.9158685324474052E-2</v>
      </c>
      <c r="F157" s="25">
        <v>2.7717900236767155E-2</v>
      </c>
      <c r="G157" s="25">
        <v>-99</v>
      </c>
      <c r="H157" s="28"/>
      <c r="I157" s="12"/>
      <c r="K157" s="25">
        <f t="shared" si="20"/>
        <v>-99</v>
      </c>
      <c r="L157" s="25">
        <f t="shared" si="14"/>
        <v>-99</v>
      </c>
      <c r="M157" s="25">
        <f t="shared" si="15"/>
        <v>-99</v>
      </c>
      <c r="N157" s="25">
        <f t="shared" si="16"/>
        <v>-99</v>
      </c>
      <c r="O157" s="25">
        <f t="shared" si="17"/>
        <v>-99</v>
      </c>
      <c r="P157" s="25">
        <f t="shared" si="18"/>
        <v>-99</v>
      </c>
      <c r="Q157" s="25">
        <f t="shared" si="19"/>
        <v>-99</v>
      </c>
    </row>
    <row r="158" spans="1:17" x14ac:dyDescent="0.25">
      <c r="A158" s="1">
        <v>684</v>
      </c>
      <c r="B158" s="25">
        <v>9.1539506721727978E-5</v>
      </c>
      <c r="C158" s="25">
        <v>1.6584306396711705E-4</v>
      </c>
      <c r="D158" s="25">
        <v>1.3938603206106617E-3</v>
      </c>
      <c r="E158" s="25">
        <v>2.9413033627883847E-2</v>
      </c>
      <c r="F158" s="25">
        <v>2.8082516697990598E-2</v>
      </c>
      <c r="G158" s="25">
        <v>-99</v>
      </c>
      <c r="H158" s="28"/>
      <c r="I158" s="12"/>
      <c r="K158" s="25">
        <f t="shared" si="20"/>
        <v>-99</v>
      </c>
      <c r="L158" s="25">
        <f t="shared" si="14"/>
        <v>-99</v>
      </c>
      <c r="M158" s="25">
        <f t="shared" si="15"/>
        <v>-99</v>
      </c>
      <c r="N158" s="25">
        <f t="shared" si="16"/>
        <v>-99</v>
      </c>
      <c r="O158" s="25">
        <f t="shared" si="17"/>
        <v>-99</v>
      </c>
      <c r="P158" s="25">
        <f t="shared" si="18"/>
        <v>-99</v>
      </c>
      <c r="Q158" s="25">
        <f t="shared" si="19"/>
        <v>-99</v>
      </c>
    </row>
    <row r="159" spans="1:17" x14ac:dyDescent="0.25">
      <c r="A159" s="1">
        <v>686</v>
      </c>
      <c r="B159" s="25">
        <v>8.9048977977488955E-5</v>
      </c>
      <c r="C159" s="25">
        <v>1.6198015247749576E-4</v>
      </c>
      <c r="D159" s="25">
        <v>1.4023813293157173E-3</v>
      </c>
      <c r="E159" s="25">
        <v>2.9638239777676968E-2</v>
      </c>
      <c r="F159" s="25">
        <v>2.8420432252875438E-2</v>
      </c>
      <c r="G159" s="25">
        <v>-99</v>
      </c>
      <c r="H159" s="28"/>
      <c r="I159" s="12"/>
      <c r="K159" s="25">
        <f t="shared" si="20"/>
        <v>-99</v>
      </c>
      <c r="L159" s="25">
        <f t="shared" si="14"/>
        <v>-99</v>
      </c>
      <c r="M159" s="25">
        <f t="shared" si="15"/>
        <v>-99</v>
      </c>
      <c r="N159" s="25">
        <f t="shared" si="16"/>
        <v>-99</v>
      </c>
      <c r="O159" s="25">
        <f t="shared" si="17"/>
        <v>-99</v>
      </c>
      <c r="P159" s="25">
        <f t="shared" si="18"/>
        <v>-99</v>
      </c>
      <c r="Q159" s="25">
        <f t="shared" si="19"/>
        <v>-99</v>
      </c>
    </row>
    <row r="160" spans="1:17" x14ac:dyDescent="0.25">
      <c r="A160" s="1">
        <v>688</v>
      </c>
      <c r="B160" s="25">
        <v>8.6401107198956622E-5</v>
      </c>
      <c r="C160" s="25">
        <v>1.5779328850672441E-4</v>
      </c>
      <c r="D160" s="25">
        <v>1.4103829234737085E-3</v>
      </c>
      <c r="E160" s="25">
        <v>2.9865645156717177E-2</v>
      </c>
      <c r="F160" s="25">
        <v>2.878365811113353E-2</v>
      </c>
      <c r="G160" s="25">
        <v>-99</v>
      </c>
      <c r="H160" s="28"/>
      <c r="I160" s="12"/>
      <c r="K160" s="25">
        <f t="shared" si="20"/>
        <v>-99</v>
      </c>
      <c r="L160" s="25">
        <f t="shared" si="14"/>
        <v>-99</v>
      </c>
      <c r="M160" s="25">
        <f t="shared" si="15"/>
        <v>-99</v>
      </c>
      <c r="N160" s="25">
        <f t="shared" si="16"/>
        <v>-99</v>
      </c>
      <c r="O160" s="25">
        <f t="shared" si="17"/>
        <v>-99</v>
      </c>
      <c r="P160" s="25">
        <f t="shared" si="18"/>
        <v>-99</v>
      </c>
      <c r="Q160" s="25">
        <f t="shared" si="19"/>
        <v>-99</v>
      </c>
    </row>
    <row r="161" spans="1:17" x14ac:dyDescent="0.25">
      <c r="A161" s="1">
        <v>690</v>
      </c>
      <c r="B161" s="25">
        <v>8.3645278131743673E-5</v>
      </c>
      <c r="C161" s="25">
        <v>1.5335363121174071E-4</v>
      </c>
      <c r="D161" s="25">
        <v>1.4104832046395101E-3</v>
      </c>
      <c r="E161" s="25">
        <v>3.0006412534838052E-2</v>
      </c>
      <c r="F161" s="25">
        <v>2.9048505271764558E-2</v>
      </c>
      <c r="G161" s="25">
        <v>-99</v>
      </c>
      <c r="H161" s="28"/>
      <c r="I161" s="12"/>
      <c r="K161" s="25">
        <f t="shared" si="20"/>
        <v>-99</v>
      </c>
      <c r="L161" s="25">
        <f t="shared" si="14"/>
        <v>-99</v>
      </c>
      <c r="M161" s="25">
        <f t="shared" si="15"/>
        <v>-99</v>
      </c>
      <c r="N161" s="25">
        <f t="shared" si="16"/>
        <v>-99</v>
      </c>
      <c r="O161" s="25">
        <f t="shared" si="17"/>
        <v>-99</v>
      </c>
      <c r="P161" s="25">
        <f t="shared" si="18"/>
        <v>-99</v>
      </c>
      <c r="Q161" s="25">
        <f t="shared" si="19"/>
        <v>-99</v>
      </c>
    </row>
    <row r="162" spans="1:17" x14ac:dyDescent="0.25">
      <c r="A162" s="1">
        <v>692</v>
      </c>
      <c r="B162" s="25">
        <v>8.0547307656141096E-5</v>
      </c>
      <c r="C162" s="25">
        <v>1.4822900307169095E-4</v>
      </c>
      <c r="D162" s="25">
        <v>1.400174277443583E-3</v>
      </c>
      <c r="E162" s="25">
        <v>3.0038651858680154E-2</v>
      </c>
      <c r="F162" s="25">
        <v>2.9206695808327778E-2</v>
      </c>
      <c r="G162" s="25">
        <v>-99</v>
      </c>
      <c r="H162" s="28"/>
      <c r="I162" s="12"/>
      <c r="K162" s="25">
        <f t="shared" si="20"/>
        <v>-99</v>
      </c>
      <c r="L162" s="25">
        <f t="shared" si="14"/>
        <v>-99</v>
      </c>
      <c r="M162" s="25">
        <f t="shared" si="15"/>
        <v>-99</v>
      </c>
      <c r="N162" s="25">
        <f t="shared" si="16"/>
        <v>-99</v>
      </c>
      <c r="O162" s="25">
        <f t="shared" si="17"/>
        <v>-99</v>
      </c>
      <c r="P162" s="25">
        <f t="shared" si="18"/>
        <v>-99</v>
      </c>
      <c r="Q162" s="25">
        <f t="shared" si="19"/>
        <v>-99</v>
      </c>
    </row>
    <row r="163" spans="1:17" x14ac:dyDescent="0.25">
      <c r="A163" s="1">
        <v>694</v>
      </c>
      <c r="B163" s="25">
        <v>7.7250263164881211E-5</v>
      </c>
      <c r="C163" s="25">
        <v>1.4268002188902633E-4</v>
      </c>
      <c r="D163" s="25">
        <v>1.3796414849229948E-3</v>
      </c>
      <c r="E163" s="25">
        <v>2.9954815607149347E-2</v>
      </c>
      <c r="F163" s="25">
        <v>2.9235966832718219E-2</v>
      </c>
      <c r="G163" s="25">
        <v>-99</v>
      </c>
      <c r="H163" s="28"/>
      <c r="I163" s="12"/>
      <c r="K163" s="25">
        <f t="shared" si="20"/>
        <v>-99</v>
      </c>
      <c r="L163" s="25">
        <f t="shared" si="14"/>
        <v>-99</v>
      </c>
      <c r="M163" s="25">
        <f t="shared" si="15"/>
        <v>-99</v>
      </c>
      <c r="N163" s="25">
        <f t="shared" si="16"/>
        <v>-99</v>
      </c>
      <c r="O163" s="25">
        <f t="shared" si="17"/>
        <v>-99</v>
      </c>
      <c r="P163" s="25">
        <f t="shared" si="18"/>
        <v>-99</v>
      </c>
      <c r="Q163" s="25">
        <f t="shared" si="19"/>
        <v>-99</v>
      </c>
    </row>
    <row r="164" spans="1:17" x14ac:dyDescent="0.25">
      <c r="A164" s="1">
        <v>696</v>
      </c>
      <c r="B164" s="25">
        <v>7.4101480206654335E-5</v>
      </c>
      <c r="C164" s="25">
        <v>1.3734890590484688E-4</v>
      </c>
      <c r="D164" s="25">
        <v>1.3534719190445E-3</v>
      </c>
      <c r="E164" s="25">
        <v>2.9792314405316284E-2</v>
      </c>
      <c r="F164" s="25">
        <v>2.9158775340024638E-2</v>
      </c>
      <c r="G164" s="25">
        <v>-99</v>
      </c>
      <c r="H164" s="28"/>
      <c r="I164" s="12"/>
      <c r="K164" s="25">
        <f t="shared" si="20"/>
        <v>-99</v>
      </c>
      <c r="L164" s="25">
        <f t="shared" si="14"/>
        <v>-99</v>
      </c>
      <c r="M164" s="25">
        <f t="shared" si="15"/>
        <v>-99</v>
      </c>
      <c r="N164" s="25">
        <f t="shared" si="16"/>
        <v>-99</v>
      </c>
      <c r="O164" s="25">
        <f t="shared" si="17"/>
        <v>-99</v>
      </c>
      <c r="P164" s="25">
        <f t="shared" si="18"/>
        <v>-99</v>
      </c>
      <c r="Q164" s="25">
        <f t="shared" si="19"/>
        <v>-99</v>
      </c>
    </row>
    <row r="165" spans="1:17" x14ac:dyDescent="0.25">
      <c r="A165" s="1">
        <v>698</v>
      </c>
      <c r="B165" s="25">
        <v>7.0472535735710052E-5</v>
      </c>
      <c r="C165" s="25">
        <v>1.3107676928053206E-4</v>
      </c>
      <c r="D165" s="25">
        <v>1.3134239944172248E-3</v>
      </c>
      <c r="E165" s="25">
        <v>2.9461291513678739E-2</v>
      </c>
      <c r="F165" s="25">
        <v>2.8899753122584512E-2</v>
      </c>
      <c r="G165" s="25">
        <v>-99</v>
      </c>
      <c r="H165" s="28"/>
      <c r="I165" s="12"/>
      <c r="K165" s="25">
        <f t="shared" si="20"/>
        <v>-99</v>
      </c>
      <c r="L165" s="25">
        <f t="shared" si="14"/>
        <v>-99</v>
      </c>
      <c r="M165" s="25">
        <f t="shared" si="15"/>
        <v>-99</v>
      </c>
      <c r="N165" s="25">
        <f t="shared" si="16"/>
        <v>-99</v>
      </c>
      <c r="O165" s="25">
        <f t="shared" si="17"/>
        <v>-99</v>
      </c>
      <c r="P165" s="25">
        <f t="shared" si="18"/>
        <v>-99</v>
      </c>
      <c r="Q165" s="25">
        <f t="shared" si="19"/>
        <v>-99</v>
      </c>
    </row>
    <row r="166" spans="1:17" x14ac:dyDescent="0.25">
      <c r="A166" s="1">
        <v>700</v>
      </c>
      <c r="B166" s="25">
        <v>6.6833562103482509E-5</v>
      </c>
      <c r="C166" s="25">
        <v>1.2473034885111757E-4</v>
      </c>
      <c r="D166" s="25">
        <v>1.2697645257288238E-3</v>
      </c>
      <c r="E166" s="25">
        <v>2.907237252198789E-2</v>
      </c>
      <c r="F166" s="25">
        <v>2.8596179474691331E-2</v>
      </c>
      <c r="G166" s="25">
        <v>-99</v>
      </c>
      <c r="H166" s="28"/>
      <c r="I166" s="12"/>
      <c r="K166" s="25">
        <f t="shared" si="20"/>
        <v>-99</v>
      </c>
      <c r="L166" s="25">
        <f t="shared" si="14"/>
        <v>-99</v>
      </c>
      <c r="M166" s="25">
        <f t="shared" si="15"/>
        <v>-99</v>
      </c>
      <c r="N166" s="25">
        <f t="shared" si="16"/>
        <v>-99</v>
      </c>
      <c r="O166" s="25">
        <f t="shared" si="17"/>
        <v>-99</v>
      </c>
      <c r="P166" s="25">
        <f t="shared" si="18"/>
        <v>-99</v>
      </c>
      <c r="Q166" s="25">
        <f t="shared" si="19"/>
        <v>-99</v>
      </c>
    </row>
    <row r="167" spans="1:17" x14ac:dyDescent="0.25">
      <c r="A167" s="1">
        <v>702</v>
      </c>
      <c r="B167" s="25">
        <v>6.328554269429841E-5</v>
      </c>
      <c r="C167" s="25">
        <v>1.1849486191986054E-4</v>
      </c>
      <c r="D167" s="25">
        <v>1.2155124387992764E-3</v>
      </c>
      <c r="E167" s="25">
        <v>2.8507624058900387E-2</v>
      </c>
      <c r="F167" s="25">
        <v>2.805280244518478E-2</v>
      </c>
      <c r="G167" s="25">
        <v>-99</v>
      </c>
      <c r="H167" s="28"/>
      <c r="I167" s="12"/>
      <c r="K167" s="25">
        <f t="shared" si="20"/>
        <v>-99</v>
      </c>
      <c r="L167" s="25">
        <f t="shared" si="14"/>
        <v>-99</v>
      </c>
      <c r="M167" s="25">
        <f t="shared" si="15"/>
        <v>-99</v>
      </c>
      <c r="N167" s="25">
        <f t="shared" si="16"/>
        <v>-99</v>
      </c>
      <c r="O167" s="25">
        <f t="shared" si="17"/>
        <v>-99</v>
      </c>
      <c r="P167" s="25">
        <f t="shared" si="18"/>
        <v>-99</v>
      </c>
      <c r="Q167" s="25">
        <f t="shared" si="19"/>
        <v>-99</v>
      </c>
    </row>
    <row r="168" spans="1:17" x14ac:dyDescent="0.25">
      <c r="A168" s="1">
        <v>704</v>
      </c>
      <c r="B168" s="25">
        <v>5.9720086366132539E-5</v>
      </c>
      <c r="C168" s="25">
        <v>1.121833793665366E-4</v>
      </c>
      <c r="D168" s="25">
        <v>1.1596284036441043E-3</v>
      </c>
      <c r="E168" s="25">
        <v>2.7887212984021421E-2</v>
      </c>
      <c r="F168" s="25">
        <v>2.7455328042230939E-2</v>
      </c>
      <c r="G168" s="25">
        <v>-99</v>
      </c>
      <c r="H168" s="28"/>
      <c r="I168" s="12"/>
      <c r="K168" s="25">
        <f t="shared" si="20"/>
        <v>-99</v>
      </c>
      <c r="L168" s="25">
        <f t="shared" si="14"/>
        <v>-99</v>
      </c>
      <c r="M168" s="25">
        <f t="shared" si="15"/>
        <v>-99</v>
      </c>
      <c r="N168" s="25">
        <f t="shared" si="16"/>
        <v>-99</v>
      </c>
      <c r="O168" s="25">
        <f t="shared" si="17"/>
        <v>-99</v>
      </c>
      <c r="P168" s="25">
        <f t="shared" si="18"/>
        <v>-99</v>
      </c>
      <c r="Q168" s="25">
        <f t="shared" si="19"/>
        <v>-99</v>
      </c>
    </row>
    <row r="169" spans="1:17" x14ac:dyDescent="0.25">
      <c r="A169" s="1">
        <v>706</v>
      </c>
      <c r="B169" s="25">
        <v>5.6348257538954792E-5</v>
      </c>
      <c r="C169" s="25">
        <v>1.0619286842924407E-4</v>
      </c>
      <c r="D169" s="25">
        <v>1.105961559830781E-3</v>
      </c>
      <c r="E169" s="25">
        <v>2.7256740382066099E-2</v>
      </c>
      <c r="F169" s="25">
        <v>2.684758247509136E-2</v>
      </c>
      <c r="G169" s="25">
        <v>-99</v>
      </c>
      <c r="H169" s="28"/>
      <c r="I169" s="12"/>
      <c r="K169" s="25">
        <f t="shared" si="20"/>
        <v>-99</v>
      </c>
      <c r="L169" s="25">
        <f t="shared" si="14"/>
        <v>-99</v>
      </c>
      <c r="M169" s="25">
        <f t="shared" si="15"/>
        <v>-99</v>
      </c>
      <c r="N169" s="25">
        <f t="shared" si="16"/>
        <v>-99</v>
      </c>
      <c r="O169" s="25">
        <f t="shared" si="17"/>
        <v>-99</v>
      </c>
      <c r="P169" s="25">
        <f t="shared" si="18"/>
        <v>-99</v>
      </c>
      <c r="Q169" s="25">
        <f t="shared" si="19"/>
        <v>-99</v>
      </c>
    </row>
    <row r="170" spans="1:17" x14ac:dyDescent="0.25">
      <c r="A170" s="1">
        <v>708</v>
      </c>
      <c r="B170" s="25">
        <v>5.2992820575127375E-5</v>
      </c>
      <c r="C170" s="25">
        <v>1.0019218716204844E-4</v>
      </c>
      <c r="D170" s="25">
        <v>1.051327291595808E-3</v>
      </c>
      <c r="E170" s="25">
        <v>2.6574300318069087E-2</v>
      </c>
      <c r="F170" s="25">
        <v>2.6189081140976324E-2</v>
      </c>
      <c r="G170" s="25">
        <v>-99</v>
      </c>
      <c r="H170" s="28"/>
      <c r="I170" s="12"/>
      <c r="K170" s="25">
        <f t="shared" si="20"/>
        <v>-99</v>
      </c>
      <c r="L170" s="25">
        <f t="shared" si="14"/>
        <v>-99</v>
      </c>
      <c r="M170" s="25">
        <f t="shared" si="15"/>
        <v>-99</v>
      </c>
      <c r="N170" s="25">
        <f t="shared" si="16"/>
        <v>-99</v>
      </c>
      <c r="O170" s="25">
        <f t="shared" si="17"/>
        <v>-99</v>
      </c>
      <c r="P170" s="25">
        <f t="shared" si="18"/>
        <v>-99</v>
      </c>
      <c r="Q170" s="25">
        <f t="shared" si="19"/>
        <v>-99</v>
      </c>
    </row>
    <row r="171" spans="1:17" x14ac:dyDescent="0.25">
      <c r="A171" s="1">
        <v>710</v>
      </c>
      <c r="B171" s="25">
        <v>4.9591768938783516E-5</v>
      </c>
      <c r="C171" s="25">
        <v>9.4064138238851206E-5</v>
      </c>
      <c r="D171" s="25">
        <v>9.9454034829468316E-4</v>
      </c>
      <c r="E171" s="25">
        <v>2.5818252790087023E-2</v>
      </c>
      <c r="F171" s="25">
        <v>2.5458749932345912E-2</v>
      </c>
      <c r="G171" s="25">
        <v>-99</v>
      </c>
      <c r="H171" s="28"/>
      <c r="I171" s="12"/>
      <c r="K171" s="25">
        <f t="shared" si="20"/>
        <v>-99</v>
      </c>
      <c r="L171" s="25">
        <f t="shared" si="14"/>
        <v>-99</v>
      </c>
      <c r="M171" s="25">
        <f t="shared" si="15"/>
        <v>-99</v>
      </c>
      <c r="N171" s="25">
        <f t="shared" si="16"/>
        <v>-99</v>
      </c>
      <c r="O171" s="25">
        <f t="shared" si="17"/>
        <v>-99</v>
      </c>
      <c r="P171" s="25">
        <f t="shared" si="18"/>
        <v>-99</v>
      </c>
      <c r="Q171" s="25">
        <f t="shared" si="19"/>
        <v>-99</v>
      </c>
    </row>
    <row r="172" spans="1:17" x14ac:dyDescent="0.25">
      <c r="A172" s="1">
        <v>712</v>
      </c>
      <c r="B172" s="25">
        <v>4.6231792950755918E-5</v>
      </c>
      <c r="C172" s="25">
        <v>8.7972667593405908E-5</v>
      </c>
      <c r="D172" s="25">
        <v>9.372049991139672E-4</v>
      </c>
      <c r="E172" s="25">
        <v>2.5005504888544215E-2</v>
      </c>
      <c r="F172" s="25">
        <v>2.4672702010995001E-2</v>
      </c>
      <c r="G172" s="25">
        <v>-99</v>
      </c>
      <c r="H172" s="28"/>
      <c r="I172" s="12"/>
      <c r="K172" s="25">
        <f t="shared" si="20"/>
        <v>-99</v>
      </c>
      <c r="L172" s="25">
        <f t="shared" si="14"/>
        <v>-99</v>
      </c>
      <c r="M172" s="25">
        <f t="shared" si="15"/>
        <v>-99</v>
      </c>
      <c r="N172" s="25">
        <f t="shared" si="16"/>
        <v>-99</v>
      </c>
      <c r="O172" s="25">
        <f t="shared" si="17"/>
        <v>-99</v>
      </c>
      <c r="P172" s="25">
        <f t="shared" si="18"/>
        <v>-99</v>
      </c>
      <c r="Q172" s="25">
        <f t="shared" si="19"/>
        <v>-99</v>
      </c>
    </row>
    <row r="173" spans="1:17" x14ac:dyDescent="0.25">
      <c r="A173" s="1">
        <v>714</v>
      </c>
      <c r="B173" s="25">
        <v>4.2881232017163713E-5</v>
      </c>
      <c r="C173" s="25">
        <v>8.1858153788735654E-5</v>
      </c>
      <c r="D173" s="25">
        <v>8.7871255652058756E-4</v>
      </c>
      <c r="E173" s="25">
        <v>2.4121443908452743E-2</v>
      </c>
      <c r="F173" s="25">
        <v>2.3816569819107403E-2</v>
      </c>
      <c r="G173" s="25">
        <v>-99</v>
      </c>
      <c r="H173" s="28"/>
      <c r="I173" s="12"/>
      <c r="K173" s="25">
        <f t="shared" si="20"/>
        <v>-99</v>
      </c>
      <c r="L173" s="25">
        <f t="shared" si="14"/>
        <v>-99</v>
      </c>
      <c r="M173" s="25">
        <f t="shared" si="15"/>
        <v>-99</v>
      </c>
      <c r="N173" s="25">
        <f t="shared" si="16"/>
        <v>-99</v>
      </c>
      <c r="O173" s="25">
        <f t="shared" si="17"/>
        <v>-99</v>
      </c>
      <c r="P173" s="25">
        <f t="shared" si="18"/>
        <v>-99</v>
      </c>
      <c r="Q173" s="25">
        <f t="shared" si="19"/>
        <v>-99</v>
      </c>
    </row>
    <row r="174" spans="1:17" x14ac:dyDescent="0.25">
      <c r="A174" s="1">
        <v>716</v>
      </c>
      <c r="B174" s="25">
        <v>3.9455061115563993E-5</v>
      </c>
      <c r="C174" s="25">
        <v>7.5558083262896927E-5</v>
      </c>
      <c r="D174" s="25">
        <v>8.1736428219681084E-4</v>
      </c>
      <c r="E174" s="25">
        <v>2.3129614908321588E-2</v>
      </c>
      <c r="F174" s="25">
        <v>2.2854689591200305E-2</v>
      </c>
      <c r="G174" s="25">
        <v>-99</v>
      </c>
      <c r="H174" s="28"/>
      <c r="I174" s="12"/>
      <c r="K174" s="25">
        <f t="shared" si="20"/>
        <v>-99</v>
      </c>
      <c r="L174" s="25">
        <f t="shared" si="14"/>
        <v>-99</v>
      </c>
      <c r="M174" s="25">
        <f t="shared" si="15"/>
        <v>-99</v>
      </c>
      <c r="N174" s="25">
        <f t="shared" si="16"/>
        <v>-99</v>
      </c>
      <c r="O174" s="25">
        <f t="shared" si="17"/>
        <v>-99</v>
      </c>
      <c r="P174" s="25">
        <f t="shared" si="18"/>
        <v>-99</v>
      </c>
      <c r="Q174" s="25">
        <f t="shared" si="19"/>
        <v>-99</v>
      </c>
    </row>
    <row r="175" spans="1:17" x14ac:dyDescent="0.25">
      <c r="A175" s="1">
        <v>718</v>
      </c>
      <c r="B175" s="25">
        <v>3.6135980664298653E-5</v>
      </c>
      <c r="C175" s="25">
        <v>6.9421778011352457E-5</v>
      </c>
      <c r="D175" s="25">
        <v>7.5673321300517642E-4</v>
      </c>
      <c r="E175" s="25">
        <v>2.2082101483429387E-2</v>
      </c>
      <c r="F175" s="25">
        <v>2.1837212785154311E-2</v>
      </c>
      <c r="G175" s="25">
        <v>-99</v>
      </c>
      <c r="H175" s="28"/>
      <c r="I175" s="12"/>
      <c r="K175" s="25">
        <f t="shared" si="20"/>
        <v>-99</v>
      </c>
      <c r="L175" s="25">
        <f t="shared" si="14"/>
        <v>-99</v>
      </c>
      <c r="M175" s="25">
        <f t="shared" si="15"/>
        <v>-99</v>
      </c>
      <c r="N175" s="25">
        <f t="shared" si="16"/>
        <v>-99</v>
      </c>
      <c r="O175" s="25">
        <f t="shared" si="17"/>
        <v>-99</v>
      </c>
      <c r="P175" s="25">
        <f t="shared" si="18"/>
        <v>-99</v>
      </c>
      <c r="Q175" s="25">
        <f t="shared" si="19"/>
        <v>-99</v>
      </c>
    </row>
    <row r="176" spans="1:17" x14ac:dyDescent="0.25">
      <c r="A176" s="1">
        <v>720</v>
      </c>
      <c r="B176" s="25">
        <v>3.3013539298154376E-5</v>
      </c>
      <c r="C176" s="25">
        <v>6.3623700263003478E-5</v>
      </c>
      <c r="D176" s="25">
        <v>6.9870602090022947E-4</v>
      </c>
      <c r="E176" s="25">
        <v>2.1012710752073869E-2</v>
      </c>
      <c r="F176" s="25">
        <v>2.0796793075038653E-2</v>
      </c>
      <c r="G176" s="25">
        <v>-99</v>
      </c>
      <c r="H176" s="28"/>
      <c r="I176" s="12"/>
      <c r="K176" s="25">
        <f t="shared" si="20"/>
        <v>-99</v>
      </c>
      <c r="L176" s="25">
        <f t="shared" si="14"/>
        <v>-99</v>
      </c>
      <c r="M176" s="25">
        <f t="shared" si="15"/>
        <v>-99</v>
      </c>
      <c r="N176" s="25">
        <f t="shared" si="16"/>
        <v>-99</v>
      </c>
      <c r="O176" s="25">
        <f t="shared" si="17"/>
        <v>-99</v>
      </c>
      <c r="P176" s="25">
        <f t="shared" si="18"/>
        <v>-99</v>
      </c>
      <c r="Q176" s="25">
        <f t="shared" si="19"/>
        <v>-99</v>
      </c>
    </row>
    <row r="177" spans="1:17" x14ac:dyDescent="0.25">
      <c r="A177" s="1">
        <v>722</v>
      </c>
      <c r="B177" s="25">
        <v>3.0089246675311046E-5</v>
      </c>
      <c r="C177" s="25">
        <v>5.8170432508551062E-5</v>
      </c>
      <c r="D177" s="25">
        <v>6.4345625715416736E-4</v>
      </c>
      <c r="E177" s="25">
        <v>1.9928596684257529E-2</v>
      </c>
      <c r="F177" s="25">
        <v>1.9740298631573405E-2</v>
      </c>
      <c r="G177" s="25">
        <v>-99</v>
      </c>
      <c r="H177" s="28"/>
      <c r="I177" s="12"/>
      <c r="K177" s="25">
        <f t="shared" si="20"/>
        <v>-99</v>
      </c>
      <c r="L177" s="25">
        <f t="shared" si="14"/>
        <v>-99</v>
      </c>
      <c r="M177" s="25">
        <f t="shared" si="15"/>
        <v>-99</v>
      </c>
      <c r="N177" s="25">
        <f t="shared" si="16"/>
        <v>-99</v>
      </c>
      <c r="O177" s="25">
        <f t="shared" si="17"/>
        <v>-99</v>
      </c>
      <c r="P177" s="25">
        <f t="shared" si="18"/>
        <v>-99</v>
      </c>
      <c r="Q177" s="25">
        <f t="shared" si="19"/>
        <v>-99</v>
      </c>
    </row>
    <row r="178" spans="1:17" x14ac:dyDescent="0.25">
      <c r="A178" s="1">
        <v>724</v>
      </c>
      <c r="B178" s="25">
        <v>2.7500965258329911E-5</v>
      </c>
      <c r="C178" s="25">
        <v>5.3332862659672547E-5</v>
      </c>
      <c r="D178" s="25">
        <v>5.9400738979883873E-4</v>
      </c>
      <c r="E178" s="25">
        <v>1.8900682955988672E-2</v>
      </c>
      <c r="F178" s="25">
        <v>1.8736941046876367E-2</v>
      </c>
      <c r="G178" s="25">
        <v>-99</v>
      </c>
      <c r="H178" s="28"/>
      <c r="I178" s="12"/>
      <c r="K178" s="25">
        <f t="shared" si="20"/>
        <v>-99</v>
      </c>
      <c r="L178" s="25">
        <f t="shared" si="14"/>
        <v>-99</v>
      </c>
      <c r="M178" s="25">
        <f t="shared" si="15"/>
        <v>-99</v>
      </c>
      <c r="N178" s="25">
        <f t="shared" si="16"/>
        <v>-99</v>
      </c>
      <c r="O178" s="25">
        <f t="shared" si="17"/>
        <v>-99</v>
      </c>
      <c r="P178" s="25">
        <f t="shared" si="18"/>
        <v>-99</v>
      </c>
      <c r="Q178" s="25">
        <f t="shared" si="19"/>
        <v>-99</v>
      </c>
    </row>
    <row r="179" spans="1:17" x14ac:dyDescent="0.25">
      <c r="A179" s="1">
        <v>726</v>
      </c>
      <c r="B179" s="25">
        <v>2.5239919623297059E-5</v>
      </c>
      <c r="C179" s="25">
        <v>4.9100140647551556E-5</v>
      </c>
      <c r="D179" s="25">
        <v>5.50425617227881E-4</v>
      </c>
      <c r="E179" s="25">
        <v>1.794630837030612E-2</v>
      </c>
      <c r="F179" s="25">
        <v>1.7803940518333918E-2</v>
      </c>
      <c r="G179" s="25">
        <v>-99</v>
      </c>
      <c r="H179" s="28"/>
      <c r="I179" s="12"/>
      <c r="K179" s="25">
        <f t="shared" si="20"/>
        <v>-99</v>
      </c>
      <c r="L179" s="25">
        <f t="shared" si="14"/>
        <v>-99</v>
      </c>
      <c r="M179" s="25">
        <f t="shared" si="15"/>
        <v>-99</v>
      </c>
      <c r="N179" s="25">
        <f t="shared" si="16"/>
        <v>-99</v>
      </c>
      <c r="O179" s="25">
        <f t="shared" si="17"/>
        <v>-99</v>
      </c>
      <c r="P179" s="25">
        <f t="shared" si="18"/>
        <v>-99</v>
      </c>
      <c r="Q179" s="25">
        <f t="shared" si="19"/>
        <v>-99</v>
      </c>
    </row>
    <row r="180" spans="1:17" x14ac:dyDescent="0.25">
      <c r="A180" s="1">
        <v>728</v>
      </c>
      <c r="B180" s="25">
        <v>2.3116705650942003E-5</v>
      </c>
      <c r="C180" s="25">
        <v>4.5108880795770584E-5</v>
      </c>
      <c r="D180" s="25">
        <v>5.0889743987024983E-4</v>
      </c>
      <c r="E180" s="25">
        <v>1.6989963344645042E-2</v>
      </c>
      <c r="F180" s="25">
        <v>1.6867633942955838E-2</v>
      </c>
      <c r="G180" s="25">
        <v>-99</v>
      </c>
      <c r="H180" s="28"/>
      <c r="I180" s="12"/>
      <c r="K180" s="25">
        <f t="shared" si="20"/>
        <v>-99</v>
      </c>
      <c r="L180" s="25">
        <f t="shared" si="14"/>
        <v>-99</v>
      </c>
      <c r="M180" s="25">
        <f t="shared" si="15"/>
        <v>-99</v>
      </c>
      <c r="N180" s="25">
        <f t="shared" si="16"/>
        <v>-99</v>
      </c>
      <c r="O180" s="25">
        <f t="shared" si="17"/>
        <v>-99</v>
      </c>
      <c r="P180" s="25">
        <f t="shared" si="18"/>
        <v>-99</v>
      </c>
      <c r="Q180" s="25">
        <f t="shared" si="19"/>
        <v>-99</v>
      </c>
    </row>
    <row r="181" spans="1:17" x14ac:dyDescent="0.25">
      <c r="A181" s="1">
        <v>730</v>
      </c>
      <c r="B181" s="25">
        <v>2.1051073965823879E-5</v>
      </c>
      <c r="C181" s="25">
        <v>4.1204622586144477E-5</v>
      </c>
      <c r="D181" s="25">
        <v>4.6777878000621822E-4</v>
      </c>
      <c r="E181" s="25">
        <v>1.5994193255219096E-2</v>
      </c>
      <c r="F181" s="25">
        <v>1.5891257334749984E-2</v>
      </c>
      <c r="G181" s="25">
        <v>-99</v>
      </c>
      <c r="H181" s="28"/>
      <c r="I181" s="12"/>
      <c r="K181" s="25">
        <f t="shared" si="20"/>
        <v>-99</v>
      </c>
      <c r="L181" s="25">
        <f t="shared" si="14"/>
        <v>-99</v>
      </c>
      <c r="M181" s="25">
        <f t="shared" si="15"/>
        <v>-99</v>
      </c>
      <c r="N181" s="25">
        <f t="shared" si="16"/>
        <v>-99</v>
      </c>
      <c r="O181" s="25">
        <f t="shared" si="17"/>
        <v>-99</v>
      </c>
      <c r="P181" s="25">
        <f t="shared" si="18"/>
        <v>-99</v>
      </c>
      <c r="Q181" s="25">
        <f t="shared" si="19"/>
        <v>-99</v>
      </c>
    </row>
    <row r="182" spans="1:17" x14ac:dyDescent="0.25">
      <c r="A182" s="1">
        <v>732</v>
      </c>
      <c r="B182" s="25">
        <v>1.8957418018796052E-5</v>
      </c>
      <c r="C182" s="25">
        <v>3.7220435764218186E-5</v>
      </c>
      <c r="D182" s="25">
        <v>4.2522774363686495E-4</v>
      </c>
      <c r="E182" s="25">
        <v>1.4908641935514166E-2</v>
      </c>
      <c r="F182" s="25">
        <v>1.4825134180750587E-2</v>
      </c>
      <c r="G182" s="25">
        <v>-99</v>
      </c>
      <c r="H182" s="28"/>
      <c r="I182" s="12"/>
      <c r="K182" s="25">
        <f t="shared" si="20"/>
        <v>-99</v>
      </c>
      <c r="L182" s="25">
        <f t="shared" si="14"/>
        <v>-99</v>
      </c>
      <c r="M182" s="25">
        <f t="shared" si="15"/>
        <v>-99</v>
      </c>
      <c r="N182" s="25">
        <f t="shared" si="16"/>
        <v>-99</v>
      </c>
      <c r="O182" s="25">
        <f t="shared" si="17"/>
        <v>-99</v>
      </c>
      <c r="P182" s="25">
        <f t="shared" si="18"/>
        <v>-99</v>
      </c>
      <c r="Q182" s="25">
        <f t="shared" si="19"/>
        <v>-99</v>
      </c>
    </row>
    <row r="183" spans="1:17" x14ac:dyDescent="0.25">
      <c r="A183" s="1">
        <v>734</v>
      </c>
      <c r="B183" s="25">
        <v>1.688952104307736E-5</v>
      </c>
      <c r="C183" s="25">
        <v>3.3261715953505126E-5</v>
      </c>
      <c r="D183" s="25">
        <v>3.8240296989193608E-4</v>
      </c>
      <c r="E183" s="25">
        <v>1.37564645899282E-2</v>
      </c>
      <c r="F183" s="25">
        <v>1.3691616642175398E-2</v>
      </c>
      <c r="G183" s="25">
        <v>-99</v>
      </c>
      <c r="H183" s="28"/>
      <c r="I183" s="12"/>
      <c r="K183" s="25">
        <f t="shared" si="20"/>
        <v>-99</v>
      </c>
      <c r="L183" s="25">
        <f t="shared" si="14"/>
        <v>-99</v>
      </c>
      <c r="M183" s="25">
        <f t="shared" si="15"/>
        <v>-99</v>
      </c>
      <c r="N183" s="25">
        <f t="shared" si="16"/>
        <v>-99</v>
      </c>
      <c r="O183" s="25">
        <f t="shared" si="17"/>
        <v>-99</v>
      </c>
      <c r="P183" s="25">
        <f t="shared" si="18"/>
        <v>-99</v>
      </c>
      <c r="Q183" s="25">
        <f t="shared" si="19"/>
        <v>-99</v>
      </c>
    </row>
    <row r="184" spans="1:17" x14ac:dyDescent="0.25">
      <c r="A184" s="1">
        <v>736</v>
      </c>
      <c r="B184" s="25">
        <v>1.5131002462850243E-5</v>
      </c>
      <c r="C184" s="25">
        <v>2.9889026109851668E-5</v>
      </c>
      <c r="D184" s="25">
        <v>3.4566963307433118E-4</v>
      </c>
      <c r="E184" s="25">
        <v>1.271897371456686E-2</v>
      </c>
      <c r="F184" s="25">
        <v>1.2669196037036661E-2</v>
      </c>
      <c r="G184" s="25">
        <v>-99</v>
      </c>
      <c r="H184" s="28"/>
      <c r="I184" s="12"/>
      <c r="K184" s="25">
        <f t="shared" si="20"/>
        <v>-99</v>
      </c>
      <c r="L184" s="25">
        <f t="shared" si="14"/>
        <v>-99</v>
      </c>
      <c r="M184" s="25">
        <f t="shared" si="15"/>
        <v>-99</v>
      </c>
      <c r="N184" s="25">
        <f t="shared" si="16"/>
        <v>-99</v>
      </c>
      <c r="O184" s="25">
        <f t="shared" si="17"/>
        <v>-99</v>
      </c>
      <c r="P184" s="25">
        <f t="shared" si="18"/>
        <v>-99</v>
      </c>
      <c r="Q184" s="25">
        <f t="shared" si="19"/>
        <v>-99</v>
      </c>
    </row>
    <row r="185" spans="1:17" x14ac:dyDescent="0.25">
      <c r="A185" s="1">
        <v>738</v>
      </c>
      <c r="B185" s="25">
        <v>1.3852018975392986E-5</v>
      </c>
      <c r="C185" s="25">
        <v>2.7445038974755551E-5</v>
      </c>
      <c r="D185" s="25">
        <v>3.1909853024920877E-4</v>
      </c>
      <c r="E185" s="25">
        <v>1.1939898078303073E-2</v>
      </c>
      <c r="F185" s="25">
        <v>1.1900355392469886E-2</v>
      </c>
      <c r="G185" s="25">
        <v>-99</v>
      </c>
      <c r="H185" s="28"/>
      <c r="I185" s="12"/>
      <c r="K185" s="25">
        <f t="shared" si="20"/>
        <v>-99</v>
      </c>
      <c r="L185" s="25">
        <f t="shared" si="14"/>
        <v>-99</v>
      </c>
      <c r="M185" s="25">
        <f t="shared" si="15"/>
        <v>-99</v>
      </c>
      <c r="N185" s="25">
        <f t="shared" si="16"/>
        <v>-99</v>
      </c>
      <c r="O185" s="25">
        <f t="shared" si="17"/>
        <v>-99</v>
      </c>
      <c r="P185" s="25">
        <f t="shared" si="18"/>
        <v>-99</v>
      </c>
      <c r="Q185" s="25">
        <f t="shared" si="19"/>
        <v>-99</v>
      </c>
    </row>
    <row r="186" spans="1:17" x14ac:dyDescent="0.25">
      <c r="A186" s="1">
        <v>740</v>
      </c>
      <c r="B186" s="25">
        <v>1.300676207250346E-5</v>
      </c>
      <c r="C186" s="25">
        <v>2.5847407332151341E-5</v>
      </c>
      <c r="D186" s="25">
        <v>3.0195826314122204E-4</v>
      </c>
      <c r="E186" s="25">
        <v>1.1425483222669399E-2</v>
      </c>
      <c r="F186" s="25">
        <v>1.1392189102077644E-2</v>
      </c>
      <c r="G186" s="25">
        <v>-99</v>
      </c>
      <c r="H186" s="28"/>
      <c r="I186" s="12"/>
      <c r="K186" s="25">
        <f t="shared" si="20"/>
        <v>-99</v>
      </c>
      <c r="L186" s="25">
        <f t="shared" si="14"/>
        <v>-99</v>
      </c>
      <c r="M186" s="25">
        <f t="shared" si="15"/>
        <v>-99</v>
      </c>
      <c r="N186" s="25">
        <f t="shared" si="16"/>
        <v>-99</v>
      </c>
      <c r="O186" s="25">
        <f t="shared" si="17"/>
        <v>-99</v>
      </c>
      <c r="P186" s="25">
        <f t="shared" si="18"/>
        <v>-99</v>
      </c>
      <c r="Q186" s="25">
        <f t="shared" si="19"/>
        <v>-99</v>
      </c>
    </row>
    <row r="187" spans="1:17" x14ac:dyDescent="0.25">
      <c r="A187" s="1">
        <v>742</v>
      </c>
      <c r="B187" s="25">
        <v>1.2466983185824356E-5</v>
      </c>
      <c r="C187" s="25">
        <v>2.484835518526962E-5</v>
      </c>
      <c r="D187" s="25">
        <v>2.9155468672757912E-4</v>
      </c>
      <c r="E187" s="25">
        <v>1.1110221225272471E-2</v>
      </c>
      <c r="F187" s="25">
        <v>1.1080556013018087E-2</v>
      </c>
      <c r="G187" s="25">
        <v>-99</v>
      </c>
      <c r="H187" s="28"/>
      <c r="I187" s="12"/>
      <c r="K187" s="25">
        <f t="shared" si="20"/>
        <v>-99</v>
      </c>
      <c r="L187" s="25">
        <f t="shared" si="14"/>
        <v>-99</v>
      </c>
      <c r="M187" s="25">
        <f t="shared" si="15"/>
        <v>-99</v>
      </c>
      <c r="N187" s="25">
        <f t="shared" si="16"/>
        <v>-99</v>
      </c>
      <c r="O187" s="25">
        <f t="shared" si="17"/>
        <v>-99</v>
      </c>
      <c r="P187" s="25">
        <f t="shared" si="18"/>
        <v>-99</v>
      </c>
      <c r="Q187" s="25">
        <f t="shared" si="19"/>
        <v>-99</v>
      </c>
    </row>
    <row r="188" spans="1:17" x14ac:dyDescent="0.25">
      <c r="A188" s="1">
        <v>744</v>
      </c>
      <c r="B188" s="25">
        <v>1.2152626505654606E-5</v>
      </c>
      <c r="C188" s="25">
        <v>2.4293331808029734E-5</v>
      </c>
      <c r="D188" s="25">
        <v>2.8619804483251545E-4</v>
      </c>
      <c r="E188" s="25">
        <v>1.0949529719897712E-2</v>
      </c>
      <c r="F188" s="25">
        <v>1.0921655449232211E-2</v>
      </c>
      <c r="G188" s="25">
        <v>-99</v>
      </c>
      <c r="H188" s="28"/>
      <c r="I188" s="12"/>
      <c r="K188" s="25">
        <f t="shared" si="20"/>
        <v>-99</v>
      </c>
      <c r="L188" s="25">
        <f t="shared" si="14"/>
        <v>-99</v>
      </c>
      <c r="M188" s="25">
        <f t="shared" si="15"/>
        <v>-99</v>
      </c>
      <c r="N188" s="25">
        <f t="shared" si="16"/>
        <v>-99</v>
      </c>
      <c r="O188" s="25">
        <f t="shared" si="17"/>
        <v>-99</v>
      </c>
      <c r="P188" s="25">
        <f t="shared" si="18"/>
        <v>-99</v>
      </c>
      <c r="Q188" s="25">
        <f t="shared" si="19"/>
        <v>-99</v>
      </c>
    </row>
    <row r="189" spans="1:17" x14ac:dyDescent="0.25">
      <c r="A189" s="1">
        <v>746</v>
      </c>
      <c r="B189" s="25">
        <v>1.1935826750534295E-5</v>
      </c>
      <c r="C189" s="25">
        <v>2.3930043004501107E-5</v>
      </c>
      <c r="D189" s="25">
        <v>2.8301843409295641E-4</v>
      </c>
      <c r="E189" s="25">
        <v>1.0856278988340613E-2</v>
      </c>
      <c r="F189" s="25">
        <v>1.0829425787461482E-2</v>
      </c>
      <c r="G189" s="25">
        <v>-99</v>
      </c>
      <c r="H189" s="28"/>
      <c r="I189" s="12"/>
      <c r="K189" s="25">
        <f t="shared" si="20"/>
        <v>-99</v>
      </c>
      <c r="L189" s="25">
        <f t="shared" si="14"/>
        <v>-99</v>
      </c>
      <c r="M189" s="25">
        <f t="shared" si="15"/>
        <v>-99</v>
      </c>
      <c r="N189" s="25">
        <f t="shared" si="16"/>
        <v>-99</v>
      </c>
      <c r="O189" s="25">
        <f t="shared" si="17"/>
        <v>-99</v>
      </c>
      <c r="P189" s="25">
        <f t="shared" si="18"/>
        <v>-99</v>
      </c>
      <c r="Q189" s="25">
        <f t="shared" si="19"/>
        <v>-99</v>
      </c>
    </row>
    <row r="190" spans="1:17" x14ac:dyDescent="0.25">
      <c r="A190" s="1">
        <v>748</v>
      </c>
      <c r="B190" s="25">
        <v>1.1769223580704013E-5</v>
      </c>
      <c r="C190" s="25">
        <v>2.3665007230186357E-5</v>
      </c>
      <c r="D190" s="25">
        <v>2.8095059096469268E-4</v>
      </c>
      <c r="E190" s="25">
        <v>1.0797650512092969E-2</v>
      </c>
      <c r="F190" s="25">
        <v>1.077143239319932E-2</v>
      </c>
      <c r="G190" s="25">
        <v>-99</v>
      </c>
      <c r="H190" s="28"/>
      <c r="I190" s="12"/>
      <c r="K190" s="25">
        <f t="shared" si="20"/>
        <v>-99</v>
      </c>
      <c r="L190" s="25">
        <f t="shared" si="14"/>
        <v>-99</v>
      </c>
      <c r="M190" s="25">
        <f t="shared" si="15"/>
        <v>-99</v>
      </c>
      <c r="N190" s="25">
        <f t="shared" si="16"/>
        <v>-99</v>
      </c>
      <c r="O190" s="25">
        <f t="shared" si="17"/>
        <v>-99</v>
      </c>
      <c r="P190" s="25">
        <f t="shared" si="18"/>
        <v>-99</v>
      </c>
      <c r="Q190" s="25">
        <f t="shared" si="19"/>
        <v>-99</v>
      </c>
    </row>
    <row r="191" spans="1:17" x14ac:dyDescent="0.25">
      <c r="A191" s="1">
        <v>750</v>
      </c>
      <c r="B191" s="25">
        <v>1.1638759799450667E-5</v>
      </c>
      <c r="C191" s="25">
        <v>2.3470768619423862E-5</v>
      </c>
      <c r="D191" s="25">
        <v>2.7968596740085197E-4</v>
      </c>
      <c r="E191" s="25">
        <v>1.0764195474898481E-2</v>
      </c>
      <c r="F191" s="25">
        <v>1.0738337329190885E-2</v>
      </c>
      <c r="G191" s="25">
        <v>-99</v>
      </c>
      <c r="H191" s="28"/>
      <c r="I191" s="12"/>
      <c r="K191" s="25">
        <f t="shared" si="20"/>
        <v>-99</v>
      </c>
      <c r="L191" s="25">
        <f t="shared" si="14"/>
        <v>-99</v>
      </c>
      <c r="M191" s="25">
        <f t="shared" si="15"/>
        <v>-99</v>
      </c>
      <c r="N191" s="25">
        <f t="shared" si="16"/>
        <v>-99</v>
      </c>
      <c r="O191" s="25">
        <f t="shared" si="17"/>
        <v>-99</v>
      </c>
      <c r="P191" s="25">
        <f t="shared" si="18"/>
        <v>-99</v>
      </c>
      <c r="Q191" s="25">
        <f t="shared" si="19"/>
        <v>-99</v>
      </c>
    </row>
    <row r="192" spans="1:17" x14ac:dyDescent="0.25">
      <c r="A192" s="1">
        <v>752</v>
      </c>
      <c r="B192" s="25">
        <v>1.1526851966800345E-5</v>
      </c>
      <c r="C192" s="25">
        <v>2.3312410005405027E-5</v>
      </c>
      <c r="D192" s="25">
        <v>2.7882289639010924E-4</v>
      </c>
      <c r="E192" s="25">
        <v>1.0743287253520511E-2</v>
      </c>
      <c r="F192" s="25">
        <v>1.0717653156711764E-2</v>
      </c>
      <c r="G192" s="25">
        <v>-99</v>
      </c>
      <c r="H192" s="28"/>
      <c r="I192" s="12"/>
      <c r="K192" s="25">
        <f t="shared" si="20"/>
        <v>-99</v>
      </c>
      <c r="L192" s="25">
        <f t="shared" si="14"/>
        <v>-99</v>
      </c>
      <c r="M192" s="25">
        <f t="shared" si="15"/>
        <v>-99</v>
      </c>
      <c r="N192" s="25">
        <f t="shared" si="16"/>
        <v>-99</v>
      </c>
      <c r="O192" s="25">
        <f t="shared" si="17"/>
        <v>-99</v>
      </c>
      <c r="P192" s="25">
        <f t="shared" si="18"/>
        <v>-99</v>
      </c>
      <c r="Q192" s="25">
        <f t="shared" si="19"/>
        <v>-99</v>
      </c>
    </row>
    <row r="193" spans="1:17" x14ac:dyDescent="0.25">
      <c r="A193" s="1">
        <v>754</v>
      </c>
      <c r="B193" s="25">
        <v>1.1422445792940668E-5</v>
      </c>
      <c r="C193" s="25">
        <v>2.3167841394714735E-5</v>
      </c>
      <c r="D193" s="25">
        <v>2.7810506309095879E-4</v>
      </c>
      <c r="E193" s="25">
        <v>1.0726806872533388E-2</v>
      </c>
      <c r="F193" s="25">
        <v>1.0701348877882842E-2</v>
      </c>
      <c r="G193" s="25">
        <v>-99</v>
      </c>
      <c r="H193" s="28"/>
      <c r="I193" s="12"/>
      <c r="K193" s="25">
        <f t="shared" si="20"/>
        <v>-99</v>
      </c>
      <c r="L193" s="25">
        <f t="shared" si="14"/>
        <v>-99</v>
      </c>
      <c r="M193" s="25">
        <f t="shared" si="15"/>
        <v>-99</v>
      </c>
      <c r="N193" s="25">
        <f t="shared" si="16"/>
        <v>-99</v>
      </c>
      <c r="O193" s="25">
        <f t="shared" si="17"/>
        <v>-99</v>
      </c>
      <c r="P193" s="25">
        <f t="shared" si="18"/>
        <v>-99</v>
      </c>
      <c r="Q193" s="25">
        <f t="shared" si="19"/>
        <v>-99</v>
      </c>
    </row>
    <row r="194" spans="1:17" x14ac:dyDescent="0.25">
      <c r="A194" s="1">
        <v>756</v>
      </c>
      <c r="B194" s="25">
        <v>1.1319967225669208E-5</v>
      </c>
      <c r="C194" s="25">
        <v>2.3025858818340297E-5</v>
      </c>
      <c r="D194" s="25">
        <v>2.7740142095848149E-4</v>
      </c>
      <c r="E194" s="25">
        <v>1.0710582943217278E-2</v>
      </c>
      <c r="F194" s="25">
        <v>1.068529790449433E-2</v>
      </c>
      <c r="G194" s="25">
        <v>-99</v>
      </c>
      <c r="H194" s="28"/>
      <c r="I194" s="12"/>
      <c r="K194" s="25">
        <f t="shared" si="20"/>
        <v>-99</v>
      </c>
      <c r="L194" s="25">
        <f t="shared" si="14"/>
        <v>-99</v>
      </c>
      <c r="M194" s="25">
        <f t="shared" si="15"/>
        <v>-99</v>
      </c>
      <c r="N194" s="25">
        <f t="shared" si="16"/>
        <v>-99</v>
      </c>
      <c r="O194" s="25">
        <f t="shared" si="17"/>
        <v>-99</v>
      </c>
      <c r="P194" s="25">
        <f t="shared" si="18"/>
        <v>-99</v>
      </c>
      <c r="Q194" s="25">
        <f t="shared" si="19"/>
        <v>-99</v>
      </c>
    </row>
    <row r="195" spans="1:17" x14ac:dyDescent="0.25">
      <c r="A195" s="1">
        <v>758</v>
      </c>
      <c r="B195" s="25">
        <v>1.1210036722261646E-5</v>
      </c>
      <c r="C195" s="25">
        <v>2.2867367703261404E-5</v>
      </c>
      <c r="D195" s="25">
        <v>2.7648502376715115E-4</v>
      </c>
      <c r="E195" s="25">
        <v>1.0687331597525185E-2</v>
      </c>
      <c r="F195" s="25">
        <v>1.0662293787877988E-2</v>
      </c>
      <c r="G195" s="25">
        <v>-99</v>
      </c>
      <c r="H195" s="28"/>
      <c r="I195" s="12"/>
      <c r="K195" s="25">
        <f t="shared" si="20"/>
        <v>-99</v>
      </c>
      <c r="L195" s="25">
        <f t="shared" si="14"/>
        <v>-99</v>
      </c>
      <c r="M195" s="25">
        <f t="shared" si="15"/>
        <v>-99</v>
      </c>
      <c r="N195" s="25">
        <f t="shared" si="16"/>
        <v>-99</v>
      </c>
      <c r="O195" s="25">
        <f t="shared" si="17"/>
        <v>-99</v>
      </c>
      <c r="P195" s="25">
        <f t="shared" si="18"/>
        <v>-99</v>
      </c>
      <c r="Q195" s="25">
        <f t="shared" si="19"/>
        <v>-99</v>
      </c>
    </row>
    <row r="196" spans="1:17" x14ac:dyDescent="0.25">
      <c r="A196" s="1">
        <v>760</v>
      </c>
      <c r="B196" s="25">
        <v>1.1103375440122246E-5</v>
      </c>
      <c r="C196" s="25">
        <v>2.2714165101565699E-5</v>
      </c>
      <c r="D196" s="25">
        <v>2.7561429118365481E-4</v>
      </c>
      <c r="E196" s="25">
        <v>1.0665336520285344E-2</v>
      </c>
      <c r="F196" s="25">
        <v>1.0640531814701404E-2</v>
      </c>
      <c r="G196" s="25">
        <v>-99</v>
      </c>
      <c r="H196" s="28"/>
      <c r="I196" s="12"/>
      <c r="K196" s="25">
        <f t="shared" si="20"/>
        <v>-99</v>
      </c>
      <c r="L196" s="25">
        <f t="shared" si="14"/>
        <v>-99</v>
      </c>
      <c r="M196" s="25">
        <f t="shared" si="15"/>
        <v>-99</v>
      </c>
      <c r="N196" s="25">
        <f t="shared" si="16"/>
        <v>-99</v>
      </c>
      <c r="O196" s="25">
        <f t="shared" si="17"/>
        <v>-99</v>
      </c>
      <c r="P196" s="25">
        <f t="shared" si="18"/>
        <v>-99</v>
      </c>
      <c r="Q196" s="25">
        <f t="shared" si="19"/>
        <v>-99</v>
      </c>
    </row>
    <row r="197" spans="1:17" x14ac:dyDescent="0.25">
      <c r="A197" s="1">
        <v>762</v>
      </c>
      <c r="B197" s="25">
        <v>1.1021703648441034E-5</v>
      </c>
      <c r="C197" s="25">
        <v>2.2610855480966237E-5</v>
      </c>
      <c r="D197" s="25">
        <v>2.7532491740795995E-4</v>
      </c>
      <c r="E197" s="25">
        <v>1.06618831254189E-2</v>
      </c>
      <c r="F197" s="25">
        <v>1.063711484662966E-2</v>
      </c>
      <c r="G197" s="25">
        <v>-99</v>
      </c>
      <c r="H197" s="28"/>
      <c r="I197" s="12"/>
      <c r="K197" s="25">
        <f t="shared" si="20"/>
        <v>-99</v>
      </c>
      <c r="L197" s="25">
        <f t="shared" si="14"/>
        <v>-99</v>
      </c>
      <c r="M197" s="25">
        <f t="shared" si="15"/>
        <v>-99</v>
      </c>
      <c r="N197" s="25">
        <f t="shared" si="16"/>
        <v>-99</v>
      </c>
      <c r="O197" s="25">
        <f t="shared" si="17"/>
        <v>-99</v>
      </c>
      <c r="P197" s="25">
        <f t="shared" si="18"/>
        <v>-99</v>
      </c>
      <c r="Q197" s="25">
        <f t="shared" si="19"/>
        <v>-99</v>
      </c>
    </row>
    <row r="198" spans="1:17" x14ac:dyDescent="0.25">
      <c r="A198" s="1">
        <v>764</v>
      </c>
      <c r="B198" s="25">
        <v>1.0946639469924053E-5</v>
      </c>
      <c r="C198" s="25">
        <v>2.2520066006687324E-5</v>
      </c>
      <c r="D198" s="25">
        <v>2.7517353287200783E-4</v>
      </c>
      <c r="E198" s="25">
        <v>1.0662741699346934E-2</v>
      </c>
      <c r="F198" s="25">
        <v>1.0637964211600794E-2</v>
      </c>
      <c r="G198" s="25">
        <v>-99</v>
      </c>
      <c r="H198" s="28"/>
      <c r="I198" s="12"/>
      <c r="K198" s="25">
        <f t="shared" si="20"/>
        <v>-99</v>
      </c>
      <c r="L198" s="25">
        <f t="shared" si="14"/>
        <v>-99</v>
      </c>
      <c r="M198" s="25">
        <f t="shared" si="15"/>
        <v>-99</v>
      </c>
      <c r="N198" s="25">
        <f t="shared" si="16"/>
        <v>-99</v>
      </c>
      <c r="O198" s="25">
        <f t="shared" si="17"/>
        <v>-99</v>
      </c>
      <c r="P198" s="25">
        <f t="shared" si="18"/>
        <v>-99</v>
      </c>
      <c r="Q198" s="25">
        <f t="shared" si="19"/>
        <v>-99</v>
      </c>
    </row>
    <row r="199" spans="1:17" x14ac:dyDescent="0.25">
      <c r="A199" s="1">
        <v>766</v>
      </c>
      <c r="B199" s="25">
        <v>1.0892182098019609E-5</v>
      </c>
      <c r="C199" s="25">
        <v>2.2470783848072953E-5</v>
      </c>
      <c r="D199" s="25">
        <v>2.7551179120578371E-4</v>
      </c>
      <c r="E199" s="25">
        <v>1.0679282475482417E-2</v>
      </c>
      <c r="F199" s="25">
        <v>1.0654329603214985E-2</v>
      </c>
      <c r="G199" s="25">
        <v>-99</v>
      </c>
      <c r="H199" s="28"/>
      <c r="I199" s="12"/>
      <c r="K199" s="25">
        <f t="shared" si="20"/>
        <v>-99</v>
      </c>
      <c r="L199" s="25">
        <f t="shared" si="14"/>
        <v>-99</v>
      </c>
      <c r="M199" s="25">
        <f t="shared" si="15"/>
        <v>-99</v>
      </c>
      <c r="N199" s="25">
        <f t="shared" si="16"/>
        <v>-99</v>
      </c>
      <c r="O199" s="25">
        <f t="shared" si="17"/>
        <v>-99</v>
      </c>
      <c r="P199" s="25">
        <f t="shared" si="18"/>
        <v>-99</v>
      </c>
      <c r="Q199" s="25">
        <f t="shared" si="19"/>
        <v>-99</v>
      </c>
    </row>
    <row r="200" spans="1:17" x14ac:dyDescent="0.25">
      <c r="A200" s="1">
        <v>768</v>
      </c>
      <c r="B200" s="25">
        <v>1.0858112445685462E-5</v>
      </c>
      <c r="C200" s="25">
        <v>2.2462911010204434E-5</v>
      </c>
      <c r="D200" s="25">
        <v>2.7634363856863056E-4</v>
      </c>
      <c r="E200" s="25">
        <v>1.0711654687524849E-2</v>
      </c>
      <c r="F200" s="25">
        <v>1.0686357466646562E-2</v>
      </c>
      <c r="G200" s="25">
        <v>-99</v>
      </c>
      <c r="H200" s="28"/>
      <c r="I200" s="12"/>
      <c r="K200" s="25">
        <f t="shared" si="20"/>
        <v>-99</v>
      </c>
      <c r="L200" s="25">
        <f t="shared" si="14"/>
        <v>-99</v>
      </c>
      <c r="M200" s="25">
        <f t="shared" si="15"/>
        <v>-99</v>
      </c>
      <c r="N200" s="25">
        <f t="shared" si="16"/>
        <v>-99</v>
      </c>
      <c r="O200" s="25">
        <f t="shared" si="17"/>
        <v>-99</v>
      </c>
      <c r="P200" s="25">
        <f t="shared" si="18"/>
        <v>-99</v>
      </c>
      <c r="Q200" s="25">
        <f t="shared" si="19"/>
        <v>-99</v>
      </c>
    </row>
    <row r="201" spans="1:17" x14ac:dyDescent="0.25">
      <c r="A201" s="1">
        <v>770</v>
      </c>
      <c r="B201" s="25">
        <v>1.0815693977412839E-5</v>
      </c>
      <c r="C201" s="25">
        <v>2.2437199029311765E-5</v>
      </c>
      <c r="D201" s="25">
        <v>2.7695390600973444E-4</v>
      </c>
      <c r="E201" s="25">
        <v>1.0736778465559694E-2</v>
      </c>
      <c r="F201" s="25">
        <v>1.0711212861043986E-2</v>
      </c>
      <c r="G201" s="25">
        <v>-99</v>
      </c>
      <c r="H201" s="28"/>
      <c r="I201" s="12"/>
      <c r="K201" s="25">
        <f t="shared" si="20"/>
        <v>-99</v>
      </c>
      <c r="L201" s="25">
        <f t="shared" si="14"/>
        <v>-99</v>
      </c>
      <c r="M201" s="25">
        <f t="shared" si="15"/>
        <v>-99</v>
      </c>
      <c r="N201" s="25">
        <f t="shared" si="16"/>
        <v>-99</v>
      </c>
      <c r="O201" s="25">
        <f t="shared" si="17"/>
        <v>-99</v>
      </c>
      <c r="P201" s="25">
        <f t="shared" si="18"/>
        <v>-99</v>
      </c>
      <c r="Q201" s="25">
        <f t="shared" si="19"/>
        <v>-99</v>
      </c>
    </row>
    <row r="202" spans="1:17" x14ac:dyDescent="0.25">
      <c r="A202" s="1">
        <v>772</v>
      </c>
      <c r="B202" s="25">
        <v>1.0770831171096098E-5</v>
      </c>
      <c r="C202" s="25">
        <v>2.2405782531504442E-5</v>
      </c>
      <c r="D202" s="25">
        <v>2.7748845223504417E-4</v>
      </c>
      <c r="E202" s="25">
        <v>1.0759362699330968E-2</v>
      </c>
      <c r="F202" s="25">
        <v>1.0733554999257744E-2</v>
      </c>
      <c r="G202" s="25">
        <v>-99</v>
      </c>
      <c r="H202" s="28"/>
      <c r="I202" s="12"/>
      <c r="K202" s="25">
        <f t="shared" si="20"/>
        <v>-99</v>
      </c>
      <c r="L202" s="25">
        <f t="shared" si="14"/>
        <v>-99</v>
      </c>
      <c r="M202" s="25">
        <f t="shared" si="15"/>
        <v>-99</v>
      </c>
      <c r="N202" s="25">
        <f t="shared" si="16"/>
        <v>-99</v>
      </c>
      <c r="O202" s="25">
        <f t="shared" si="17"/>
        <v>-99</v>
      </c>
      <c r="P202" s="25">
        <f t="shared" si="18"/>
        <v>-99</v>
      </c>
      <c r="Q202" s="25">
        <f t="shared" si="19"/>
        <v>-99</v>
      </c>
    </row>
    <row r="203" spans="1:17" x14ac:dyDescent="0.25">
      <c r="A203" s="1">
        <v>774</v>
      </c>
      <c r="B203" s="25">
        <v>1.0772615949000769E-5</v>
      </c>
      <c r="C203" s="25">
        <v>2.2470994157626854E-5</v>
      </c>
      <c r="D203" s="25">
        <v>2.7919863580707781E-4</v>
      </c>
      <c r="E203" s="25">
        <v>1.0819777943292676E-2</v>
      </c>
      <c r="F203" s="25">
        <v>1.0793318959578217E-2</v>
      </c>
      <c r="G203" s="25">
        <v>-99</v>
      </c>
      <c r="H203" s="28"/>
      <c r="I203" s="12"/>
      <c r="K203" s="25">
        <f t="shared" si="20"/>
        <v>-99</v>
      </c>
      <c r="L203" s="25">
        <f t="shared" si="14"/>
        <v>-99</v>
      </c>
      <c r="M203" s="25">
        <f t="shared" si="15"/>
        <v>-99</v>
      </c>
      <c r="N203" s="25">
        <f t="shared" si="16"/>
        <v>-99</v>
      </c>
      <c r="O203" s="25">
        <f t="shared" si="17"/>
        <v>-99</v>
      </c>
      <c r="P203" s="25">
        <f t="shared" si="18"/>
        <v>-99</v>
      </c>
      <c r="Q203" s="25">
        <f t="shared" si="19"/>
        <v>-99</v>
      </c>
    </row>
    <row r="204" spans="1:17" x14ac:dyDescent="0.25">
      <c r="A204" s="1">
        <v>776</v>
      </c>
      <c r="B204" s="25">
        <v>1.0787633403392299E-5</v>
      </c>
      <c r="C204" s="25">
        <v>2.2563756481449067E-5</v>
      </c>
      <c r="D204" s="25">
        <v>2.8124789116746321E-4</v>
      </c>
      <c r="E204" s="25">
        <v>1.0890968354423755E-2</v>
      </c>
      <c r="F204" s="25">
        <v>1.0863734751312021E-2</v>
      </c>
      <c r="G204" s="25">
        <v>-99</v>
      </c>
      <c r="H204" s="28"/>
      <c r="I204" s="12"/>
      <c r="K204" s="25">
        <f t="shared" si="20"/>
        <v>-99</v>
      </c>
      <c r="L204" s="25">
        <f t="shared" si="14"/>
        <v>-99</v>
      </c>
      <c r="M204" s="25">
        <f t="shared" si="15"/>
        <v>-99</v>
      </c>
      <c r="N204" s="25">
        <f t="shared" si="16"/>
        <v>-99</v>
      </c>
      <c r="O204" s="25">
        <f t="shared" si="17"/>
        <v>-99</v>
      </c>
      <c r="P204" s="25">
        <f t="shared" si="18"/>
        <v>-99</v>
      </c>
      <c r="Q204" s="25">
        <f t="shared" si="19"/>
        <v>-99</v>
      </c>
    </row>
    <row r="205" spans="1:17" x14ac:dyDescent="0.25">
      <c r="A205" s="1">
        <v>778</v>
      </c>
      <c r="B205" s="25">
        <v>1.0800949682335078E-5</v>
      </c>
      <c r="C205" s="25">
        <v>2.2652979618517994E-5</v>
      </c>
      <c r="D205" s="25">
        <v>2.8325660580175735E-4</v>
      </c>
      <c r="E205" s="25">
        <v>1.0960684487994256E-2</v>
      </c>
      <c r="F205" s="25">
        <v>1.0932684756801857E-2</v>
      </c>
      <c r="G205" s="25">
        <v>-99</v>
      </c>
      <c r="H205" s="28"/>
      <c r="I205" s="12"/>
      <c r="K205" s="25">
        <f t="shared" si="20"/>
        <v>-99</v>
      </c>
      <c r="L205" s="25">
        <f t="shared" si="14"/>
        <v>-99</v>
      </c>
      <c r="M205" s="25">
        <f t="shared" si="15"/>
        <v>-99</v>
      </c>
      <c r="N205" s="25">
        <f t="shared" si="16"/>
        <v>-99</v>
      </c>
      <c r="O205" s="25">
        <f t="shared" si="17"/>
        <v>-99</v>
      </c>
      <c r="P205" s="25">
        <f t="shared" si="18"/>
        <v>-99</v>
      </c>
      <c r="Q205" s="25">
        <f t="shared" si="19"/>
        <v>-99</v>
      </c>
    </row>
    <row r="206" spans="1:17" x14ac:dyDescent="0.25">
      <c r="A206" s="1">
        <v>780</v>
      </c>
      <c r="B206" s="25">
        <v>1.0858037587906261E-5</v>
      </c>
      <c r="C206" s="25">
        <v>2.2834234007971995E-5</v>
      </c>
      <c r="D206" s="25">
        <v>2.8640423408458785E-4</v>
      </c>
      <c r="E206" s="25">
        <v>1.1066736702563121E-2</v>
      </c>
      <c r="F206" s="25">
        <v>1.1037557284542449E-2</v>
      </c>
      <c r="G206" s="25">
        <v>-99</v>
      </c>
      <c r="H206" s="28"/>
      <c r="I206" s="12"/>
      <c r="K206" s="25">
        <f t="shared" si="20"/>
        <v>-99</v>
      </c>
      <c r="L206" s="25">
        <f t="shared" si="14"/>
        <v>-99</v>
      </c>
      <c r="M206" s="25">
        <f t="shared" si="15"/>
        <v>-99</v>
      </c>
      <c r="N206" s="25">
        <f t="shared" si="16"/>
        <v>-99</v>
      </c>
      <c r="O206" s="25">
        <f t="shared" si="17"/>
        <v>-99</v>
      </c>
      <c r="P206" s="25">
        <f t="shared" si="18"/>
        <v>-99</v>
      </c>
      <c r="Q206" s="25">
        <f t="shared" si="19"/>
        <v>-99</v>
      </c>
    </row>
    <row r="207" spans="1:17" x14ac:dyDescent="0.25">
      <c r="A207" s="1">
        <v>782</v>
      </c>
      <c r="B207" s="25">
        <v>1.089742697812775E-5</v>
      </c>
      <c r="C207" s="25">
        <v>2.29786755313681E-5</v>
      </c>
      <c r="D207" s="25">
        <v>2.8910545437809001E-4</v>
      </c>
      <c r="E207" s="25">
        <v>1.1158190169087579E-2</v>
      </c>
      <c r="F207" s="25">
        <v>1.1127979567328541E-2</v>
      </c>
      <c r="G207" s="25">
        <v>-99</v>
      </c>
      <c r="H207" s="28"/>
      <c r="I207" s="12"/>
      <c r="K207" s="25">
        <f t="shared" si="20"/>
        <v>-99</v>
      </c>
      <c r="L207" s="25">
        <f t="shared" si="14"/>
        <v>-99</v>
      </c>
      <c r="M207" s="25">
        <f t="shared" si="15"/>
        <v>-99</v>
      </c>
      <c r="N207" s="25">
        <f t="shared" si="16"/>
        <v>-99</v>
      </c>
      <c r="O207" s="25">
        <f t="shared" si="17"/>
        <v>-99</v>
      </c>
      <c r="P207" s="25">
        <f t="shared" si="18"/>
        <v>-99</v>
      </c>
      <c r="Q207" s="25">
        <f t="shared" si="19"/>
        <v>-99</v>
      </c>
    </row>
    <row r="208" spans="1:17" x14ac:dyDescent="0.25">
      <c r="A208" s="1">
        <v>784</v>
      </c>
      <c r="B208" s="25">
        <v>1.0943494560430174E-5</v>
      </c>
      <c r="C208" s="25">
        <v>2.3137524982658293E-5</v>
      </c>
      <c r="D208" s="25">
        <v>2.9199222236857899E-4</v>
      </c>
      <c r="E208" s="25">
        <v>1.1255295301554526E-2</v>
      </c>
      <c r="F208" s="25">
        <v>1.1223975741350116E-2</v>
      </c>
      <c r="G208" s="25">
        <v>-99</v>
      </c>
      <c r="H208" s="28"/>
      <c r="I208" s="12"/>
      <c r="K208" s="25">
        <f t="shared" si="20"/>
        <v>-99</v>
      </c>
      <c r="L208" s="25">
        <f t="shared" ref="L208:L216" si="21">IF(L$13,C208,-99)</f>
        <v>-99</v>
      </c>
      <c r="M208" s="25">
        <f t="shared" ref="M208:M216" si="22">IF(M$13,D208,-99)</f>
        <v>-99</v>
      </c>
      <c r="N208" s="25">
        <f t="shared" ref="N208:N216" si="23">IF(N$13,E208,-99)</f>
        <v>-99</v>
      </c>
      <c r="O208" s="25">
        <f t="shared" ref="O208:O216" si="24">IF(O$13,F208,-99)</f>
        <v>-99</v>
      </c>
      <c r="P208" s="25">
        <f t="shared" ref="P208:P216" si="25">IF(P$13,G208,-99)</f>
        <v>-99</v>
      </c>
      <c r="Q208" s="25">
        <f t="shared" ref="Q208:Q216" si="26">IF(Q$13,H208,-99)</f>
        <v>-99</v>
      </c>
    </row>
    <row r="209" spans="1:17" x14ac:dyDescent="0.25">
      <c r="A209" s="1">
        <v>786</v>
      </c>
      <c r="B209" s="25">
        <v>1.1029866979378064E-5</v>
      </c>
      <c r="C209" s="25">
        <v>2.3382155788044358E-5</v>
      </c>
      <c r="D209" s="25">
        <v>2.9595471349234384E-4</v>
      </c>
      <c r="E209" s="25">
        <v>1.138626693391119E-2</v>
      </c>
      <c r="F209" s="25">
        <v>1.1353428774176043E-2</v>
      </c>
      <c r="G209" s="25">
        <v>-99</v>
      </c>
      <c r="H209" s="28"/>
      <c r="I209" s="12"/>
      <c r="K209" s="25">
        <f t="shared" ref="K209:K216" si="27">IF(K$13,B209,-99)</f>
        <v>-99</v>
      </c>
      <c r="L209" s="25">
        <f t="shared" si="21"/>
        <v>-99</v>
      </c>
      <c r="M209" s="25">
        <f t="shared" si="22"/>
        <v>-99</v>
      </c>
      <c r="N209" s="25">
        <f t="shared" si="23"/>
        <v>-99</v>
      </c>
      <c r="O209" s="25">
        <f t="shared" si="24"/>
        <v>-99</v>
      </c>
      <c r="P209" s="25">
        <f t="shared" si="25"/>
        <v>-99</v>
      </c>
      <c r="Q209" s="25">
        <f t="shared" si="26"/>
        <v>-99</v>
      </c>
    </row>
    <row r="210" spans="1:17" x14ac:dyDescent="0.25">
      <c r="A210" s="1">
        <v>788</v>
      </c>
      <c r="B210" s="25">
        <v>1.1122625283108046E-5</v>
      </c>
      <c r="C210" s="25">
        <v>2.3641166183948472E-5</v>
      </c>
      <c r="D210" s="25">
        <v>3.0011017408927622E-4</v>
      </c>
      <c r="E210" s="25">
        <v>1.1522814849505262E-2</v>
      </c>
      <c r="F210" s="25">
        <v>1.1488365413097189E-2</v>
      </c>
      <c r="G210" s="25">
        <v>-99</v>
      </c>
      <c r="H210" s="28"/>
      <c r="I210" s="12"/>
      <c r="K210" s="25">
        <f t="shared" si="27"/>
        <v>-99</v>
      </c>
      <c r="L210" s="25">
        <f t="shared" si="21"/>
        <v>-99</v>
      </c>
      <c r="M210" s="25">
        <f t="shared" si="22"/>
        <v>-99</v>
      </c>
      <c r="N210" s="25">
        <f t="shared" si="23"/>
        <v>-99</v>
      </c>
      <c r="O210" s="25">
        <f t="shared" si="24"/>
        <v>-99</v>
      </c>
      <c r="P210" s="25">
        <f t="shared" si="25"/>
        <v>-99</v>
      </c>
      <c r="Q210" s="25">
        <f t="shared" si="26"/>
        <v>-99</v>
      </c>
    </row>
    <row r="211" spans="1:17" x14ac:dyDescent="0.25">
      <c r="A211" s="1">
        <v>790</v>
      </c>
      <c r="B211" s="25">
        <v>1.1238771937932375E-5</v>
      </c>
      <c r="C211" s="25">
        <v>2.3950880324462343E-5</v>
      </c>
      <c r="D211" s="25">
        <v>3.0491458414872038E-4</v>
      </c>
      <c r="E211" s="25">
        <v>1.1679204064486168E-2</v>
      </c>
      <c r="F211" s="25">
        <v>1.1642874106812825E-2</v>
      </c>
      <c r="G211" s="25">
        <v>-99</v>
      </c>
      <c r="H211" s="28"/>
      <c r="I211" s="12"/>
      <c r="K211" s="25">
        <f t="shared" si="27"/>
        <v>-99</v>
      </c>
      <c r="L211" s="25">
        <f t="shared" si="21"/>
        <v>-99</v>
      </c>
      <c r="M211" s="25">
        <f t="shared" si="22"/>
        <v>-99</v>
      </c>
      <c r="N211" s="25">
        <f t="shared" si="23"/>
        <v>-99</v>
      </c>
      <c r="O211" s="25">
        <f t="shared" si="24"/>
        <v>-99</v>
      </c>
      <c r="P211" s="25">
        <f t="shared" si="25"/>
        <v>-99</v>
      </c>
      <c r="Q211" s="25">
        <f t="shared" si="26"/>
        <v>-99</v>
      </c>
    </row>
    <row r="212" spans="1:17" x14ac:dyDescent="0.25">
      <c r="A212" s="1">
        <v>792</v>
      </c>
      <c r="B212" s="25">
        <v>1.1374520892717434E-5</v>
      </c>
      <c r="C212" s="25">
        <v>2.4303594997703377E-5</v>
      </c>
      <c r="D212" s="25">
        <v>3.1027603202858948E-4</v>
      </c>
      <c r="E212" s="25">
        <v>1.1852258669303362E-2</v>
      </c>
      <c r="F212" s="25">
        <v>1.1813804102216907E-2</v>
      </c>
      <c r="G212" s="25">
        <v>-99</v>
      </c>
      <c r="H212" s="28"/>
      <c r="I212" s="12"/>
      <c r="K212" s="25">
        <f t="shared" si="27"/>
        <v>-99</v>
      </c>
      <c r="L212" s="25">
        <f t="shared" si="21"/>
        <v>-99</v>
      </c>
      <c r="M212" s="25">
        <f t="shared" si="22"/>
        <v>-99</v>
      </c>
      <c r="N212" s="25">
        <f t="shared" si="23"/>
        <v>-99</v>
      </c>
      <c r="O212" s="25">
        <f t="shared" si="24"/>
        <v>-99</v>
      </c>
      <c r="P212" s="25">
        <f t="shared" si="25"/>
        <v>-99</v>
      </c>
      <c r="Q212" s="25">
        <f t="shared" si="26"/>
        <v>-99</v>
      </c>
    </row>
    <row r="213" spans="1:17" x14ac:dyDescent="0.25">
      <c r="A213" s="1">
        <v>794</v>
      </c>
      <c r="B213" s="25">
        <v>1.1494623627210907E-5</v>
      </c>
      <c r="C213" s="25">
        <v>2.4624140875355591E-5</v>
      </c>
      <c r="D213" s="25">
        <v>3.1525276648075286E-4</v>
      </c>
      <c r="E213" s="25">
        <v>1.2012413341404021E-2</v>
      </c>
      <c r="F213" s="25">
        <v>1.1971951629238762E-2</v>
      </c>
      <c r="G213" s="25">
        <v>-99</v>
      </c>
      <c r="H213" s="28"/>
      <c r="I213" s="12"/>
      <c r="K213" s="25">
        <f t="shared" si="27"/>
        <v>-99</v>
      </c>
      <c r="L213" s="25">
        <f t="shared" si="21"/>
        <v>-99</v>
      </c>
      <c r="M213" s="25">
        <f t="shared" si="22"/>
        <v>-99</v>
      </c>
      <c r="N213" s="25">
        <f t="shared" si="23"/>
        <v>-99</v>
      </c>
      <c r="O213" s="25">
        <f t="shared" si="24"/>
        <v>-99</v>
      </c>
      <c r="P213" s="25">
        <f t="shared" si="25"/>
        <v>-99</v>
      </c>
      <c r="Q213" s="25">
        <f t="shared" si="26"/>
        <v>-99</v>
      </c>
    </row>
    <row r="214" spans="1:17" x14ac:dyDescent="0.25">
      <c r="A214" s="1">
        <v>796</v>
      </c>
      <c r="B214" s="25">
        <v>1.1591735516149623E-5</v>
      </c>
      <c r="C214" s="25">
        <v>2.4896479669466314E-5</v>
      </c>
      <c r="D214" s="25">
        <v>3.1963925237030692E-4</v>
      </c>
      <c r="E214" s="25">
        <v>1.2153494784346366E-2</v>
      </c>
      <c r="F214" s="25">
        <v>1.2111232384417216E-2</v>
      </c>
      <c r="G214" s="25">
        <v>-99</v>
      </c>
      <c r="H214" s="28"/>
      <c r="I214" s="12"/>
      <c r="K214" s="25">
        <f t="shared" si="27"/>
        <v>-99</v>
      </c>
      <c r="L214" s="25">
        <f t="shared" si="21"/>
        <v>-99</v>
      </c>
      <c r="M214" s="25">
        <f t="shared" si="22"/>
        <v>-99</v>
      </c>
      <c r="N214" s="25">
        <f t="shared" si="23"/>
        <v>-99</v>
      </c>
      <c r="O214" s="25">
        <f t="shared" si="24"/>
        <v>-99</v>
      </c>
      <c r="P214" s="25">
        <f t="shared" si="25"/>
        <v>-99</v>
      </c>
      <c r="Q214" s="25">
        <f t="shared" si="26"/>
        <v>-99</v>
      </c>
    </row>
    <row r="215" spans="1:17" x14ac:dyDescent="0.25">
      <c r="A215" s="1">
        <v>798</v>
      </c>
      <c r="B215" s="25">
        <v>1.1727111087415884E-5</v>
      </c>
      <c r="C215" s="25">
        <v>2.5252082208064352E-5</v>
      </c>
      <c r="D215" s="25">
        <v>3.2509302194459429E-4</v>
      </c>
      <c r="E215" s="25">
        <v>1.2326835171468093E-2</v>
      </c>
      <c r="F215" s="25">
        <v>1.2282318646747722E-2</v>
      </c>
      <c r="G215" s="25">
        <v>-99</v>
      </c>
      <c r="H215" s="28"/>
      <c r="I215" s="12"/>
      <c r="K215" s="25">
        <f t="shared" si="27"/>
        <v>-99</v>
      </c>
      <c r="L215" s="25">
        <f t="shared" si="21"/>
        <v>-99</v>
      </c>
      <c r="M215" s="25">
        <f t="shared" si="22"/>
        <v>-99</v>
      </c>
      <c r="N215" s="25">
        <f t="shared" si="23"/>
        <v>-99</v>
      </c>
      <c r="O215" s="25">
        <f t="shared" si="24"/>
        <v>-99</v>
      </c>
      <c r="P215" s="25">
        <f t="shared" si="25"/>
        <v>-99</v>
      </c>
      <c r="Q215" s="25">
        <f t="shared" si="26"/>
        <v>-99</v>
      </c>
    </row>
    <row r="216" spans="1:17" x14ac:dyDescent="0.25">
      <c r="A216" s="1">
        <v>800</v>
      </c>
      <c r="B216" s="25">
        <v>1.1863020586919525E-5</v>
      </c>
      <c r="C216" s="25">
        <v>2.5610146701699586E-5</v>
      </c>
      <c r="D216" s="25">
        <v>3.305975313223717E-4</v>
      </c>
      <c r="E216" s="25">
        <v>1.2500776461398806E-2</v>
      </c>
      <c r="F216" s="25">
        <v>1.2453951755486223E-2</v>
      </c>
      <c r="G216" s="25">
        <v>-99</v>
      </c>
      <c r="H216" s="28"/>
      <c r="I216" s="12"/>
      <c r="K216" s="25">
        <f t="shared" si="27"/>
        <v>-99</v>
      </c>
      <c r="L216" s="25">
        <f t="shared" si="21"/>
        <v>-99</v>
      </c>
      <c r="M216" s="25">
        <f t="shared" si="22"/>
        <v>-99</v>
      </c>
      <c r="N216" s="25">
        <f t="shared" si="23"/>
        <v>-99</v>
      </c>
      <c r="O216" s="25">
        <f t="shared" si="24"/>
        <v>-99</v>
      </c>
      <c r="P216" s="25">
        <f t="shared" si="25"/>
        <v>-99</v>
      </c>
      <c r="Q216" s="25">
        <f t="shared" si="26"/>
        <v>-99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0"/>
  <sheetViews>
    <sheetView workbookViewId="0">
      <selection activeCell="D156" sqref="D156"/>
    </sheetView>
  </sheetViews>
  <sheetFormatPr defaultRowHeight="13.2" x14ac:dyDescent="0.25"/>
  <cols>
    <col min="1" max="1" width="15.33203125" customWidth="1"/>
  </cols>
  <sheetData>
    <row r="1" spans="1:13" x14ac:dyDescent="0.25">
      <c r="A1" s="1" t="str">
        <f>README!A1:B3</f>
        <v>ECOMAMA-MORS simple ocean colour model</v>
      </c>
      <c r="B1" s="1"/>
    </row>
    <row r="2" spans="1:13" x14ac:dyDescent="0.25">
      <c r="A2" s="1" t="str">
        <f>README!A2:B7</f>
        <v>Version</v>
      </c>
      <c r="B2" s="1">
        <f>README!B2:C7</f>
        <v>3.1</v>
      </c>
    </row>
    <row r="3" spans="1:13" x14ac:dyDescent="0.25">
      <c r="A3" s="1" t="str">
        <f>README!A3:B8</f>
        <v>Date</v>
      </c>
      <c r="B3" s="1" t="str">
        <f>README!B3:C8</f>
        <v>10th July 2012</v>
      </c>
    </row>
    <row r="5" spans="1:13" x14ac:dyDescent="0.25">
      <c r="A5" s="1" t="s">
        <v>69</v>
      </c>
      <c r="B5" s="5"/>
      <c r="C5" s="6"/>
      <c r="I5" s="1" t="s">
        <v>97</v>
      </c>
      <c r="M5" t="s">
        <v>96</v>
      </c>
    </row>
    <row r="6" spans="1:13" x14ac:dyDescent="0.25">
      <c r="A6" s="1"/>
      <c r="B6" s="5"/>
      <c r="C6" s="6"/>
      <c r="I6" s="1" t="s">
        <v>94</v>
      </c>
      <c r="M6">
        <f>CHL</f>
        <v>0.01</v>
      </c>
    </row>
    <row r="7" spans="1:13" x14ac:dyDescent="0.25">
      <c r="A7" s="1" t="s">
        <v>28</v>
      </c>
      <c r="B7" s="5"/>
      <c r="C7" s="6"/>
      <c r="I7" s="1" t="s">
        <v>93</v>
      </c>
      <c r="M7" t="s">
        <v>98</v>
      </c>
    </row>
    <row r="8" spans="1:13" x14ac:dyDescent="0.25">
      <c r="A8" t="s">
        <v>21</v>
      </c>
      <c r="B8">
        <v>7.0000000000000007E-2</v>
      </c>
      <c r="C8" t="s">
        <v>16</v>
      </c>
      <c r="D8" s="7" t="s">
        <v>15</v>
      </c>
      <c r="I8" t="s">
        <v>0</v>
      </c>
      <c r="J8" t="s">
        <v>33</v>
      </c>
      <c r="K8" t="s">
        <v>1</v>
      </c>
      <c r="L8" t="s">
        <v>2</v>
      </c>
      <c r="M8" t="s">
        <v>95</v>
      </c>
    </row>
    <row r="9" spans="1:13" x14ac:dyDescent="0.25">
      <c r="I9">
        <v>400</v>
      </c>
      <c r="J9" s="3">
        <v>5.7999999999999996E-3</v>
      </c>
      <c r="K9" s="3">
        <v>2.63E-2</v>
      </c>
      <c r="L9" s="9">
        <v>0.28199999999999997</v>
      </c>
      <c r="M9" s="12">
        <f>MAX(PARAMETERS!K9*POWER(CHL,-PARAMETERS!L9),0.000000001)</f>
        <v>9.637308213238012E-2</v>
      </c>
    </row>
    <row r="10" spans="1:13" x14ac:dyDescent="0.25">
      <c r="A10" s="1" t="s">
        <v>32</v>
      </c>
      <c r="I10">
        <v>402</v>
      </c>
      <c r="J10" s="3">
        <v>5.8999999999999999E-3</v>
      </c>
      <c r="K10" s="3">
        <v>2.7099999999999999E-2</v>
      </c>
      <c r="L10" s="9">
        <v>0.28100000000000003</v>
      </c>
      <c r="M10" s="12">
        <f>MAX(PARAMETERS!K10*POWER(CHL,-PARAMETERS!L10),0.000000001)</f>
        <v>9.8848319616839708E-2</v>
      </c>
    </row>
    <row r="11" spans="1:13" x14ac:dyDescent="0.25">
      <c r="A11" t="s">
        <v>29</v>
      </c>
      <c r="B11">
        <v>0.53</v>
      </c>
      <c r="C11" t="s">
        <v>105</v>
      </c>
      <c r="I11">
        <v>404</v>
      </c>
      <c r="J11" s="3">
        <v>6.0999999999999995E-3</v>
      </c>
      <c r="K11" s="3">
        <v>2.8000000000000001E-2</v>
      </c>
      <c r="L11" s="9">
        <v>0.28199999999999997</v>
      </c>
      <c r="M11" s="12">
        <f>MAX(PARAMETERS!K11*POWER(CHL,-PARAMETERS!L11),0.000000001)</f>
        <v>0.10260252090139328</v>
      </c>
    </row>
    <row r="12" spans="1:13" x14ac:dyDescent="0.25">
      <c r="A12" t="s">
        <v>30</v>
      </c>
      <c r="B12">
        <v>0.13</v>
      </c>
      <c r="C12" t="s">
        <v>101</v>
      </c>
      <c r="I12">
        <v>406</v>
      </c>
      <c r="J12" s="3">
        <v>6.3E-3</v>
      </c>
      <c r="K12" s="3">
        <v>2.9000000000000001E-2</v>
      </c>
      <c r="L12" s="9">
        <v>0.28100000000000003</v>
      </c>
      <c r="M12" s="12">
        <f>MAX(PARAMETERS!K12*POWER(CHL,-PARAMETERS!L12),0.000000001)</f>
        <v>0.10577864460842627</v>
      </c>
    </row>
    <row r="13" spans="1:13" x14ac:dyDescent="0.25">
      <c r="A13" t="s">
        <v>31</v>
      </c>
      <c r="B13" s="8">
        <f>PI()*B11*B12</f>
        <v>0.21645573383233677</v>
      </c>
      <c r="C13" t="s">
        <v>103</v>
      </c>
      <c r="I13">
        <v>408</v>
      </c>
      <c r="J13" s="3">
        <v>6.4999999999999997E-3</v>
      </c>
      <c r="K13" s="3">
        <v>3.0099999999999998E-2</v>
      </c>
      <c r="L13" s="9">
        <v>0.28199999999999997</v>
      </c>
      <c r="M13" s="12">
        <f>MAX(PARAMETERS!K13*POWER(CHL,-PARAMETERS!L13),0.000000001)</f>
        <v>0.11029770996899776</v>
      </c>
    </row>
    <row r="14" spans="1:13" x14ac:dyDescent="0.25">
      <c r="A14" t="s">
        <v>102</v>
      </c>
      <c r="B14">
        <f>B13/PI()</f>
        <v>6.8900000000000003E-2</v>
      </c>
      <c r="C14" t="s">
        <v>104</v>
      </c>
      <c r="I14">
        <v>410</v>
      </c>
      <c r="J14" s="3">
        <v>6.7000000000000002E-3</v>
      </c>
      <c r="K14" s="3">
        <v>3.1300000000000001E-2</v>
      </c>
      <c r="L14" s="9">
        <v>0.28299999999999997</v>
      </c>
      <c r="M14" s="12">
        <f>MAX(PARAMETERS!K14*POWER(CHL,-PARAMETERS!L14),0.000000001)</f>
        <v>0.11522436875011233</v>
      </c>
    </row>
    <row r="15" spans="1:13" x14ac:dyDescent="0.25">
      <c r="A15" s="1" t="s">
        <v>64</v>
      </c>
      <c r="D15" s="7"/>
      <c r="I15">
        <v>412</v>
      </c>
      <c r="J15" s="3">
        <v>6.8999999999999999E-3</v>
      </c>
      <c r="K15" s="3">
        <v>3.2300000000000002E-2</v>
      </c>
      <c r="L15" s="9">
        <v>0.28599999999999998</v>
      </c>
      <c r="M15" s="12">
        <f>MAX(PARAMETERS!K15*POWER(CHL,-PARAMETERS!L15),0.000000001)</f>
        <v>0.12055980096801774</v>
      </c>
    </row>
    <row r="16" spans="1:13" x14ac:dyDescent="0.25">
      <c r="A16" t="s">
        <v>24</v>
      </c>
      <c r="B16">
        <v>0.5</v>
      </c>
      <c r="D16" t="s">
        <v>18</v>
      </c>
      <c r="I16">
        <v>414</v>
      </c>
      <c r="J16" s="3">
        <v>7.1999999999999998E-3</v>
      </c>
      <c r="K16" s="3">
        <v>3.3300000000000003E-2</v>
      </c>
      <c r="L16" s="9">
        <v>0.29099999999999998</v>
      </c>
      <c r="M16" s="12">
        <f>MAX(PARAMETERS!K16*POWER(CHL,-PARAMETERS!L16),0.000000001)</f>
        <v>0.12718744218973552</v>
      </c>
    </row>
    <row r="17" spans="1:13" x14ac:dyDescent="0.25">
      <c r="A17" t="s">
        <v>25</v>
      </c>
      <c r="B17">
        <v>2.8800000000000002E-3</v>
      </c>
      <c r="C17" t="str">
        <f>"/m"</f>
        <v>/m</v>
      </c>
      <c r="D17" t="s">
        <v>19</v>
      </c>
      <c r="I17">
        <v>416</v>
      </c>
      <c r="J17" s="3">
        <v>7.3999999999999995E-3</v>
      </c>
      <c r="K17" s="3">
        <v>3.4200000000000001E-2</v>
      </c>
      <c r="L17" s="9">
        <v>0.29299999999999998</v>
      </c>
      <c r="M17" s="12">
        <f>MAX(PARAMETERS!K17*POWER(CHL,-PARAMETERS!L17),0.000000001)</f>
        <v>0.13183359832169395</v>
      </c>
    </row>
    <row r="18" spans="1:13" x14ac:dyDescent="0.25">
      <c r="A18" t="s">
        <v>26</v>
      </c>
      <c r="B18">
        <v>-4.32</v>
      </c>
      <c r="D18" t="s">
        <v>68</v>
      </c>
      <c r="I18">
        <v>418</v>
      </c>
      <c r="J18" s="3">
        <v>7.6000000000000009E-3</v>
      </c>
      <c r="K18" s="3">
        <v>3.49E-2</v>
      </c>
      <c r="L18" s="9">
        <v>0.29599999999999999</v>
      </c>
      <c r="M18" s="12">
        <f>MAX(PARAMETERS!K18*POWER(CHL,-PARAMETERS!L18),0.000000001)</f>
        <v>0.13640347263154826</v>
      </c>
    </row>
    <row r="19" spans="1:13" x14ac:dyDescent="0.25">
      <c r="I19">
        <v>420</v>
      </c>
      <c r="J19" s="3">
        <v>7.899999999999999E-3</v>
      </c>
      <c r="K19" s="3">
        <v>3.56E-2</v>
      </c>
      <c r="L19" s="9">
        <v>0.29899999999999999</v>
      </c>
      <c r="M19" s="12">
        <f>MAX(PARAMETERS!K19*POWER(CHL,-PARAMETERS!L19),0.000000001)</f>
        <v>0.14107498019493642</v>
      </c>
    </row>
    <row r="20" spans="1:13" x14ac:dyDescent="0.25">
      <c r="A20" s="1" t="s">
        <v>74</v>
      </c>
      <c r="B20" s="2" t="s">
        <v>62</v>
      </c>
      <c r="C20" s="2" t="s">
        <v>61</v>
      </c>
      <c r="D20" s="5" t="s">
        <v>60</v>
      </c>
      <c r="E20" t="s">
        <v>63</v>
      </c>
      <c r="I20">
        <v>422</v>
      </c>
      <c r="J20" s="3">
        <v>8.2000000000000007E-3</v>
      </c>
      <c r="K20" s="3">
        <v>3.5900000000000001E-2</v>
      </c>
      <c r="L20" s="9">
        <v>0.30599999999999999</v>
      </c>
      <c r="M20" s="12">
        <f>MAX(PARAMETERS!K20*POWER(CHL,-PARAMETERS!L20),0.000000001)</f>
        <v>0.14692457684307389</v>
      </c>
    </row>
    <row r="21" spans="1:13" x14ac:dyDescent="0.25">
      <c r="A21" t="s">
        <v>20</v>
      </c>
      <c r="B21" s="15">
        <v>4.1000000000000002E-2</v>
      </c>
      <c r="C21">
        <v>4.1000000000000002E-2</v>
      </c>
      <c r="D21" s="5" t="s">
        <v>17</v>
      </c>
      <c r="E21" t="s">
        <v>57</v>
      </c>
      <c r="I21">
        <v>424</v>
      </c>
      <c r="J21" s="3">
        <v>8.3999999999999995E-3</v>
      </c>
      <c r="K21" s="3">
        <v>3.6200000000000003E-2</v>
      </c>
      <c r="L21" s="9">
        <v>0.313</v>
      </c>
      <c r="M21" s="12">
        <f>MAX(PARAMETERS!K21*POWER(CHL,-PARAMETERS!L21),0.000000001)</f>
        <v>0.15300603836414828</v>
      </c>
    </row>
    <row r="22" spans="1:13" x14ac:dyDescent="0.25">
      <c r="A22" t="s">
        <v>22</v>
      </c>
      <c r="B22" s="15">
        <v>1.23E-2</v>
      </c>
      <c r="C22">
        <v>1.23E-2</v>
      </c>
      <c r="D22" s="16" t="s">
        <v>59</v>
      </c>
      <c r="E22" t="s">
        <v>58</v>
      </c>
      <c r="I22">
        <v>426</v>
      </c>
      <c r="J22" s="3">
        <v>8.6999999999999994E-3</v>
      </c>
      <c r="K22" s="3">
        <v>3.6900000000000002E-2</v>
      </c>
      <c r="L22" s="9">
        <v>0.316</v>
      </c>
      <c r="M22" s="12">
        <f>MAX(PARAMETERS!K22*POWER(CHL,-PARAMETERS!L22),0.000000001)</f>
        <v>0.15813440402665516</v>
      </c>
    </row>
    <row r="23" spans="1:13" x14ac:dyDescent="0.25">
      <c r="A23" t="s">
        <v>23</v>
      </c>
      <c r="B23" s="15">
        <v>1.7600000000000001E-2</v>
      </c>
      <c r="C23">
        <v>1.7600000000000001E-2</v>
      </c>
      <c r="D23" s="16" t="s">
        <v>59</v>
      </c>
      <c r="E23" t="s">
        <v>76</v>
      </c>
      <c r="I23">
        <v>428</v>
      </c>
      <c r="J23" s="3">
        <v>8.8999999999999999E-3</v>
      </c>
      <c r="K23" s="3">
        <v>3.7600000000000001E-2</v>
      </c>
      <c r="L23" s="9">
        <v>0.317</v>
      </c>
      <c r="M23" s="12">
        <f>MAX(PARAMETERS!K23*POWER(CHL,-PARAMETERS!L23),0.000000001)</f>
        <v>0.16187800554488319</v>
      </c>
    </row>
    <row r="24" spans="1:13" x14ac:dyDescent="0.25">
      <c r="A24" t="s">
        <v>56</v>
      </c>
      <c r="B24" s="15">
        <v>1.0200000000000001E-2</v>
      </c>
      <c r="C24">
        <f>0.02*0.51</f>
        <v>1.0200000000000001E-2</v>
      </c>
      <c r="D24" s="5" t="s">
        <v>17</v>
      </c>
      <c r="E24" t="s">
        <v>77</v>
      </c>
      <c r="I24">
        <v>430</v>
      </c>
      <c r="J24" s="3">
        <v>9.1999999999999998E-3</v>
      </c>
      <c r="K24" s="3">
        <v>3.8600000000000002E-2</v>
      </c>
      <c r="L24" s="9">
        <v>0.314</v>
      </c>
      <c r="M24" s="12">
        <f>MAX(PARAMETERS!K24*POWER(CHL,-PARAMETERS!L24),0.000000001)</f>
        <v>0.16390315168327674</v>
      </c>
    </row>
    <row r="25" spans="1:13" x14ac:dyDescent="0.25">
      <c r="A25" t="s">
        <v>27</v>
      </c>
      <c r="B25" s="15">
        <v>0</v>
      </c>
      <c r="C25">
        <v>0</v>
      </c>
      <c r="D25" s="5"/>
      <c r="E25" t="s">
        <v>89</v>
      </c>
      <c r="I25">
        <v>432</v>
      </c>
      <c r="J25" s="3">
        <v>9.3999999999999986E-3</v>
      </c>
      <c r="K25" s="3">
        <v>3.9100000000000003E-2</v>
      </c>
      <c r="L25" s="9">
        <v>0.318</v>
      </c>
      <c r="M25" s="12">
        <f>MAX(PARAMETERS!K25*POWER(CHL,-PARAMETERS!L25),0.000000001)</f>
        <v>0.16911290793468842</v>
      </c>
    </row>
    <row r="26" spans="1:13" x14ac:dyDescent="0.25">
      <c r="I26">
        <v>434</v>
      </c>
      <c r="J26" s="3">
        <v>9.7000000000000003E-3</v>
      </c>
      <c r="K26" s="3">
        <v>3.95E-2</v>
      </c>
      <c r="L26" s="9">
        <v>0.32400000000000001</v>
      </c>
      <c r="M26" s="12">
        <f>MAX(PARAMETERS!K26*POWER(CHL,-PARAMETERS!L26),0.000000001)</f>
        <v>0.17562935065029794</v>
      </c>
    </row>
    <row r="27" spans="1:13" x14ac:dyDescent="0.25">
      <c r="I27">
        <v>436</v>
      </c>
      <c r="J27" s="3">
        <v>9.8999999999999991E-3</v>
      </c>
      <c r="K27" s="3">
        <v>3.9899999999999998E-2</v>
      </c>
      <c r="L27" s="9">
        <v>0.32800000000000001</v>
      </c>
      <c r="M27" s="12">
        <f>MAX(PARAMETERS!K27*POWER(CHL,-PARAMETERS!L27),0.000000001)</f>
        <v>0.18070613438154468</v>
      </c>
    </row>
    <row r="28" spans="1:13" x14ac:dyDescent="0.25">
      <c r="I28">
        <v>438</v>
      </c>
      <c r="J28" s="3">
        <v>1.0200000000000001E-2</v>
      </c>
      <c r="K28" s="3">
        <v>4.0099999999999997E-2</v>
      </c>
      <c r="L28" s="9">
        <v>0.33200000000000002</v>
      </c>
      <c r="M28" s="12">
        <f>MAX(PARAMETERS!K28*POWER(CHL,-PARAMETERS!L28),0.000000001)</f>
        <v>0.18498834739871209</v>
      </c>
    </row>
    <row r="29" spans="1:13" x14ac:dyDescent="0.25">
      <c r="I29">
        <v>440</v>
      </c>
      <c r="J29" s="3">
        <v>1.04E-2</v>
      </c>
      <c r="K29" s="3">
        <v>4.0300000000000002E-2</v>
      </c>
      <c r="L29" s="9">
        <v>0.33200000000000002</v>
      </c>
      <c r="M29" s="12">
        <f>MAX(PARAMETERS!K29*POWER(CHL,-PARAMETERS!L29),0.000000001)</f>
        <v>0.18591098254783286</v>
      </c>
    </row>
    <row r="30" spans="1:13" x14ac:dyDescent="0.25">
      <c r="I30">
        <v>442</v>
      </c>
      <c r="J30" s="3">
        <v>1.06E-2</v>
      </c>
      <c r="K30" s="3">
        <v>3.9800000000000002E-2</v>
      </c>
      <c r="L30" s="9">
        <v>0.33900000000000002</v>
      </c>
      <c r="M30" s="12">
        <f>MAX(PARAMETERS!K30*POWER(CHL,-PARAMETERS!L30),0.000000001)</f>
        <v>0.18961953274855545</v>
      </c>
    </row>
    <row r="31" spans="1:13" x14ac:dyDescent="0.25">
      <c r="I31">
        <v>444</v>
      </c>
      <c r="J31" s="3">
        <v>1.0799999999999999E-2</v>
      </c>
      <c r="K31" s="3">
        <v>3.9E-2</v>
      </c>
      <c r="L31" s="9">
        <v>0.34799999999999998</v>
      </c>
      <c r="M31" s="12">
        <f>MAX(PARAMETERS!K31*POWER(CHL,-PARAMETERS!L31),0.000000001)</f>
        <v>0.19367100536563103</v>
      </c>
    </row>
    <row r="32" spans="1:13" x14ac:dyDescent="0.25">
      <c r="I32">
        <v>446</v>
      </c>
      <c r="J32" s="3">
        <v>1.1000000000000001E-2</v>
      </c>
      <c r="K32" s="3">
        <v>3.8300000000000001E-2</v>
      </c>
      <c r="L32" s="9">
        <v>0.35499999999999998</v>
      </c>
      <c r="M32" s="12">
        <f>MAX(PARAMETERS!K32*POWER(CHL,-PARAMETERS!L32),0.000000001)</f>
        <v>0.19642591006869267</v>
      </c>
    </row>
    <row r="33" spans="9:13" x14ac:dyDescent="0.25">
      <c r="I33">
        <v>448</v>
      </c>
      <c r="J33" s="3">
        <v>1.12E-2</v>
      </c>
      <c r="K33" s="3">
        <v>3.7499999999999999E-2</v>
      </c>
      <c r="L33" s="9">
        <v>0.36</v>
      </c>
      <c r="M33" s="12">
        <f>MAX(PARAMETERS!K33*POWER(CHL,-PARAMETERS!L33),0.000000001)</f>
        <v>0.19680279759366467</v>
      </c>
    </row>
    <row r="34" spans="9:13" x14ac:dyDescent="0.25">
      <c r="I34">
        <v>450</v>
      </c>
      <c r="J34" s="3">
        <v>1.14E-2</v>
      </c>
      <c r="K34" s="3">
        <v>3.7100000000000001E-2</v>
      </c>
      <c r="L34" s="9">
        <v>0.35899999999999999</v>
      </c>
      <c r="M34" s="12">
        <f>MAX(PARAMETERS!K34*POWER(CHL,-PARAMETERS!L34),0.000000001)</f>
        <v>0.19380898611867339</v>
      </c>
    </row>
    <row r="35" spans="9:13" x14ac:dyDescent="0.25">
      <c r="I35">
        <v>452</v>
      </c>
      <c r="J35" s="3">
        <v>1.1599999999999999E-2</v>
      </c>
      <c r="K35" s="3">
        <v>3.6499999999999998E-2</v>
      </c>
      <c r="L35" s="9">
        <v>0.36199999999999999</v>
      </c>
      <c r="M35" s="12">
        <f>MAX(PARAMETERS!K35*POWER(CHL,-PARAMETERS!L35),0.000000001)</f>
        <v>0.19332715702045505</v>
      </c>
    </row>
    <row r="36" spans="9:13" x14ac:dyDescent="0.25">
      <c r="I36">
        <v>454</v>
      </c>
      <c r="J36" s="3">
        <v>1.18E-2</v>
      </c>
      <c r="K36" s="3">
        <v>3.5799999999999998E-2</v>
      </c>
      <c r="L36" s="9">
        <v>0.36599999999999999</v>
      </c>
      <c r="M36" s="12">
        <f>MAX(PARAMETERS!K36*POWER(CHL,-PARAMETERS!L36),0.000000001)</f>
        <v>0.19314480286041563</v>
      </c>
    </row>
    <row r="37" spans="9:13" x14ac:dyDescent="0.25">
      <c r="I37">
        <v>456</v>
      </c>
      <c r="J37" s="3">
        <v>1.2E-2</v>
      </c>
      <c r="K37" s="3">
        <v>3.5400000000000001E-2</v>
      </c>
      <c r="L37" s="9">
        <v>0.36699999999999999</v>
      </c>
      <c r="M37" s="12">
        <f>MAX(PARAMETERS!K37*POWER(CHL,-PARAMETERS!L37),0.000000001)</f>
        <v>0.19186831520217479</v>
      </c>
    </row>
    <row r="38" spans="9:13" x14ac:dyDescent="0.25">
      <c r="I38">
        <v>458</v>
      </c>
      <c r="J38" s="3">
        <v>1.2199999999999999E-2</v>
      </c>
      <c r="K38" s="3">
        <v>3.5099999999999999E-2</v>
      </c>
      <c r="L38" s="9">
        <v>0.36799999999999999</v>
      </c>
      <c r="M38" s="12">
        <f>MAX(PARAMETERS!K38*POWER(CHL,-PARAMETERS!L38),0.000000001)</f>
        <v>0.19112043114768981</v>
      </c>
    </row>
    <row r="39" spans="9:13" x14ac:dyDescent="0.25">
      <c r="I39">
        <v>460</v>
      </c>
      <c r="J39" s="3">
        <v>1.2400000000000001E-2</v>
      </c>
      <c r="K39" s="3">
        <v>3.5000000000000003E-2</v>
      </c>
      <c r="L39" s="9">
        <v>0.36499999999999999</v>
      </c>
      <c r="M39" s="12">
        <f>MAX(PARAMETERS!K39*POWER(CHL,-PARAMETERS!L39),0.000000001)</f>
        <v>0.18796112872958842</v>
      </c>
    </row>
    <row r="40" spans="9:13" x14ac:dyDescent="0.25">
      <c r="I40">
        <v>462</v>
      </c>
      <c r="J40" s="3">
        <v>1.26E-2</v>
      </c>
      <c r="K40" s="3">
        <v>3.4700000000000002E-2</v>
      </c>
      <c r="L40" s="9">
        <v>0.36599999999999999</v>
      </c>
      <c r="M40" s="12">
        <f>MAX(PARAMETERS!K40*POWER(CHL,-PARAMETERS!L40),0.000000001)</f>
        <v>0.18721018601274925</v>
      </c>
    </row>
    <row r="41" spans="9:13" x14ac:dyDescent="0.25">
      <c r="I41">
        <v>464</v>
      </c>
      <c r="J41" s="3">
        <v>1.2799999999999999E-2</v>
      </c>
      <c r="K41" s="3">
        <v>3.4299999999999997E-2</v>
      </c>
      <c r="L41" s="9">
        <v>0.36799999999999999</v>
      </c>
      <c r="M41" s="12">
        <f>MAX(PARAMETERS!K41*POWER(CHL,-PARAMETERS!L41),0.000000001)</f>
        <v>0.18676440992495044</v>
      </c>
    </row>
    <row r="42" spans="9:13" x14ac:dyDescent="0.25">
      <c r="I42">
        <v>466</v>
      </c>
      <c r="J42" s="3">
        <v>1.2999999999999999E-2</v>
      </c>
      <c r="K42" s="3">
        <v>3.39E-2</v>
      </c>
      <c r="L42" s="9">
        <v>0.36899999999999999</v>
      </c>
      <c r="M42" s="12">
        <f>MAX(PARAMETERS!K42*POWER(CHL,-PARAMETERS!L42),0.000000001)</f>
        <v>0.18543841142105633</v>
      </c>
    </row>
    <row r="43" spans="9:13" x14ac:dyDescent="0.25">
      <c r="I43">
        <v>468</v>
      </c>
      <c r="J43" s="3">
        <v>1.3300000000000001E-2</v>
      </c>
      <c r="K43" s="3">
        <v>3.3500000000000002E-2</v>
      </c>
      <c r="L43" s="9">
        <v>0.36899999999999999</v>
      </c>
      <c r="M43" s="12">
        <f>MAX(PARAMETERS!K43*POWER(CHL,-PARAMETERS!L43),0.000000001)</f>
        <v>0.18325034756948044</v>
      </c>
    </row>
    <row r="44" spans="9:13" x14ac:dyDescent="0.25">
      <c r="I44">
        <v>470</v>
      </c>
      <c r="J44" s="3">
        <v>1.35E-2</v>
      </c>
      <c r="K44" s="3">
        <v>3.32E-2</v>
      </c>
      <c r="L44" s="9">
        <v>0.36799999999999999</v>
      </c>
      <c r="M44" s="12">
        <f>MAX(PARAMETERS!K44*POWER(CHL,-PARAMETERS!L44),0.000000001)</f>
        <v>0.18077488074368381</v>
      </c>
    </row>
    <row r="45" spans="9:13" x14ac:dyDescent="0.25">
      <c r="I45">
        <v>472</v>
      </c>
      <c r="J45" s="3">
        <v>1.38E-2</v>
      </c>
      <c r="K45" s="3">
        <v>3.2500000000000001E-2</v>
      </c>
      <c r="L45" s="9">
        <v>0.371</v>
      </c>
      <c r="M45" s="12">
        <f>MAX(PARAMETERS!K45*POWER(CHL,-PARAMETERS!L45),0.000000001)</f>
        <v>0.17942516776624612</v>
      </c>
    </row>
    <row r="46" spans="9:13" x14ac:dyDescent="0.25">
      <c r="I46">
        <v>474</v>
      </c>
      <c r="J46" s="3">
        <v>1.4100000000000001E-2</v>
      </c>
      <c r="K46" s="3">
        <v>3.1800000000000002E-2</v>
      </c>
      <c r="L46" s="9">
        <v>0.375</v>
      </c>
      <c r="M46" s="12">
        <f>MAX(PARAMETERS!K46*POWER(CHL,-PARAMETERS!L46),0.000000001)</f>
        <v>0.178824541410531</v>
      </c>
    </row>
    <row r="47" spans="9:13" x14ac:dyDescent="0.25">
      <c r="I47">
        <v>476</v>
      </c>
      <c r="J47" s="3">
        <v>1.44E-2</v>
      </c>
      <c r="K47" s="3">
        <v>3.1199999999999999E-2</v>
      </c>
      <c r="L47" s="9">
        <v>0.378</v>
      </c>
      <c r="M47" s="12">
        <f>MAX(PARAMETERS!K47*POWER(CHL,-PARAMETERS!L47),0.000000001)</f>
        <v>0.17789125295159322</v>
      </c>
    </row>
    <row r="48" spans="9:13" x14ac:dyDescent="0.25">
      <c r="I48">
        <v>478</v>
      </c>
      <c r="J48" s="3">
        <v>1.4799999999999999E-2</v>
      </c>
      <c r="K48" s="3">
        <v>3.0599999999999999E-2</v>
      </c>
      <c r="L48" s="9">
        <v>0.379</v>
      </c>
      <c r="M48" s="12">
        <f>MAX(PARAMETERS!K48*POWER(CHL,-PARAMETERS!L48),0.000000001)</f>
        <v>0.17527558548166369</v>
      </c>
    </row>
    <row r="49" spans="9:13" x14ac:dyDescent="0.25">
      <c r="I49">
        <v>480</v>
      </c>
      <c r="J49" s="3">
        <v>1.5200000000000002E-2</v>
      </c>
      <c r="K49" s="3">
        <v>3.0099999999999998E-2</v>
      </c>
      <c r="L49" s="9">
        <v>0.377</v>
      </c>
      <c r="M49" s="12">
        <f>MAX(PARAMETERS!K49*POWER(CHL,-PARAMETERS!L49),0.000000001)</f>
        <v>0.17083092622797263</v>
      </c>
    </row>
    <row r="50" spans="9:13" x14ac:dyDescent="0.25">
      <c r="I50">
        <v>482</v>
      </c>
      <c r="J50" s="3">
        <v>1.5699999999999999E-2</v>
      </c>
      <c r="K50" s="3">
        <v>2.9600000000000001E-2</v>
      </c>
      <c r="L50" s="9">
        <v>0.377</v>
      </c>
      <c r="M50" s="12">
        <f>MAX(PARAMETERS!K50*POWER(CHL,-PARAMETERS!L50),0.000000001)</f>
        <v>0.16799320320092992</v>
      </c>
    </row>
    <row r="51" spans="9:13" x14ac:dyDescent="0.25">
      <c r="I51">
        <v>484</v>
      </c>
      <c r="J51" s="3">
        <v>1.6199999999999999E-2</v>
      </c>
      <c r="K51" s="3">
        <v>2.9000000000000001E-2</v>
      </c>
      <c r="L51" s="9">
        <v>0.376</v>
      </c>
      <c r="M51" s="12">
        <f>MAX(PARAMETERS!K51*POWER(CHL,-PARAMETERS!L51),0.000000001)</f>
        <v>0.1638317226955677</v>
      </c>
    </row>
    <row r="52" spans="9:13" x14ac:dyDescent="0.25">
      <c r="I52">
        <v>486</v>
      </c>
      <c r="J52" s="3">
        <v>1.67E-2</v>
      </c>
      <c r="K52" s="3">
        <v>2.8500000000000001E-2</v>
      </c>
      <c r="L52" s="9">
        <v>0.373</v>
      </c>
      <c r="M52" s="12">
        <f>MAX(PARAMETERS!K52*POWER(CHL,-PARAMETERS!L52),0.000000001)</f>
        <v>0.15879793844559997</v>
      </c>
    </row>
    <row r="53" spans="9:13" x14ac:dyDescent="0.25">
      <c r="I53">
        <v>488</v>
      </c>
      <c r="J53" s="3">
        <v>1.7399999999999999E-2</v>
      </c>
      <c r="K53" s="3">
        <v>2.7900000000000001E-2</v>
      </c>
      <c r="L53" s="9">
        <v>0.36899999999999999</v>
      </c>
      <c r="M53" s="12">
        <f>MAX(PARAMETERS!K53*POWER(CHL,-PARAMETERS!L53),0.000000001)</f>
        <v>0.15261745364741802</v>
      </c>
    </row>
    <row r="54" spans="9:13" x14ac:dyDescent="0.25">
      <c r="I54">
        <v>490</v>
      </c>
      <c r="J54" s="3">
        <v>1.8100000000000002E-2</v>
      </c>
      <c r="K54" s="3">
        <v>2.7400000000000001E-2</v>
      </c>
      <c r="L54" s="9">
        <v>0.36099999999999999</v>
      </c>
      <c r="M54" s="12">
        <f>MAX(PARAMETERS!K54*POWER(CHL,-PARAMETERS!L54),0.000000001)</f>
        <v>0.14446098202985341</v>
      </c>
    </row>
    <row r="55" spans="9:13" x14ac:dyDescent="0.25">
      <c r="I55">
        <v>492</v>
      </c>
      <c r="J55" s="3">
        <v>1.89E-2</v>
      </c>
      <c r="K55" s="3">
        <v>2.6700000000000002E-2</v>
      </c>
      <c r="L55" s="9">
        <v>0.35599999999999998</v>
      </c>
      <c r="M55" s="12">
        <f>MAX(PARAMETERS!K55*POWER(CHL,-PARAMETERS!L55),0.000000001)</f>
        <v>0.13756604810332895</v>
      </c>
    </row>
    <row r="56" spans="9:13" x14ac:dyDescent="0.25">
      <c r="I56">
        <v>494</v>
      </c>
      <c r="J56" s="3">
        <v>1.9799999999999998E-2</v>
      </c>
      <c r="K56" s="3">
        <v>2.58E-2</v>
      </c>
      <c r="L56" s="9">
        <v>0.34899999999999998</v>
      </c>
      <c r="M56" s="12">
        <f>MAX(PARAMETERS!K56*POWER(CHL,-PARAMETERS!L56),0.000000001)</f>
        <v>0.12871219776468312</v>
      </c>
    </row>
    <row r="57" spans="9:13" x14ac:dyDescent="0.25">
      <c r="I57">
        <v>496</v>
      </c>
      <c r="J57" s="3">
        <v>2.0900000000000002E-2</v>
      </c>
      <c r="K57" s="3">
        <v>2.4899999999999999E-2</v>
      </c>
      <c r="L57" s="9">
        <v>0.34100000000000003</v>
      </c>
      <c r="M57" s="12">
        <f>MAX(PARAMETERS!K57*POWER(CHL,-PARAMETERS!L57),0.000000001)</f>
        <v>0.11972899776398241</v>
      </c>
    </row>
    <row r="58" spans="9:13" x14ac:dyDescent="0.25">
      <c r="I58">
        <v>498</v>
      </c>
      <c r="J58" s="3">
        <v>2.23E-2</v>
      </c>
      <c r="K58" s="3">
        <v>2.4E-2</v>
      </c>
      <c r="L58" s="9">
        <v>0.33200000000000002</v>
      </c>
      <c r="M58" s="12">
        <f>MAX(PARAMETERS!K58*POWER(CHL,-PARAMETERS!L58),0.000000001)</f>
        <v>0.11071621789449103</v>
      </c>
    </row>
    <row r="59" spans="9:13" x14ac:dyDescent="0.25">
      <c r="I59">
        <v>500</v>
      </c>
      <c r="J59" s="3">
        <v>2.3800000000000002E-2</v>
      </c>
      <c r="K59" s="3">
        <v>2.3E-2</v>
      </c>
      <c r="L59" s="9">
        <v>0.32100000000000001</v>
      </c>
      <c r="M59" s="12">
        <f>MAX(PARAMETERS!K59*POWER(CHL,-PARAMETERS!L59),0.000000001)</f>
        <v>0.10086206048824668</v>
      </c>
    </row>
    <row r="60" spans="9:13" x14ac:dyDescent="0.25">
      <c r="I60">
        <v>502</v>
      </c>
      <c r="J60" s="3">
        <v>2.5500000000000002E-2</v>
      </c>
      <c r="K60" s="3">
        <v>2.1999999999999999E-2</v>
      </c>
      <c r="L60" s="9">
        <v>0.311</v>
      </c>
      <c r="M60" s="12">
        <f>MAX(PARAMETERS!K60*POWER(CHL,-PARAMETERS!L60),0.000000001)</f>
        <v>9.2134584325942015E-2</v>
      </c>
    </row>
    <row r="61" spans="9:13" x14ac:dyDescent="0.25">
      <c r="I61">
        <v>504</v>
      </c>
      <c r="J61" s="3">
        <v>2.7300000000000001E-2</v>
      </c>
      <c r="K61" s="3">
        <v>2.0899999999999998E-2</v>
      </c>
      <c r="L61" s="9">
        <v>0.3</v>
      </c>
      <c r="M61" s="12">
        <f>MAX(PARAMETERS!K61*POWER(CHL,-PARAMETERS!L61),0.000000001)</f>
        <v>8.320439864568091E-2</v>
      </c>
    </row>
    <row r="62" spans="9:13" x14ac:dyDescent="0.25">
      <c r="I62">
        <v>506</v>
      </c>
      <c r="J62" s="3">
        <v>2.9100000000000001E-2</v>
      </c>
      <c r="K62" s="3">
        <v>1.9900000000000001E-2</v>
      </c>
      <c r="L62" s="9">
        <v>0.28799999999999998</v>
      </c>
      <c r="M62" s="12">
        <f>MAX(PARAMETERS!K62*POWER(CHL,-PARAMETERS!L62),0.000000001)</f>
        <v>7.4964055997797846E-2</v>
      </c>
    </row>
    <row r="63" spans="9:13" x14ac:dyDescent="0.25">
      <c r="I63">
        <v>508</v>
      </c>
      <c r="J63" s="3">
        <v>3.1E-2</v>
      </c>
      <c r="K63" s="3">
        <v>1.89E-2</v>
      </c>
      <c r="L63" s="9">
        <v>0.27500000000000002</v>
      </c>
      <c r="M63" s="12">
        <f>MAX(PARAMETERS!K63*POWER(CHL,-PARAMETERS!L63),0.000000001)</f>
        <v>6.7059730565145761E-2</v>
      </c>
    </row>
    <row r="64" spans="9:13" x14ac:dyDescent="0.25">
      <c r="I64">
        <v>510</v>
      </c>
      <c r="J64" s="3">
        <v>3.2899999999999999E-2</v>
      </c>
      <c r="K64" s="3">
        <v>1.7999999999999999E-2</v>
      </c>
      <c r="L64" s="9">
        <v>0.26</v>
      </c>
      <c r="M64" s="12">
        <f>MAX(PARAMETERS!K64*POWER(CHL,-PARAMETERS!L64),0.000000001)</f>
        <v>5.960360186686639E-2</v>
      </c>
    </row>
    <row r="65" spans="9:13" x14ac:dyDescent="0.25">
      <c r="I65">
        <v>512</v>
      </c>
      <c r="J65" s="3">
        <v>3.49E-2</v>
      </c>
      <c r="K65" s="3">
        <v>1.7100000000000001E-2</v>
      </c>
      <c r="L65" s="9">
        <v>0.249</v>
      </c>
      <c r="M65" s="12">
        <f>MAX(PARAMETERS!K65*POWER(CHL,-PARAMETERS!L65),0.000000001)</f>
        <v>5.3826496171132492E-2</v>
      </c>
    </row>
    <row r="66" spans="9:13" x14ac:dyDescent="0.25">
      <c r="I66">
        <v>514</v>
      </c>
      <c r="J66" s="3">
        <v>3.6799999999999999E-2</v>
      </c>
      <c r="K66" s="3">
        <v>1.6299999999999999E-2</v>
      </c>
      <c r="L66" s="9">
        <v>0.23699999999999999</v>
      </c>
      <c r="M66" s="12">
        <f>MAX(PARAMETERS!K66*POWER(CHL,-PARAMETERS!L66),0.000000001)</f>
        <v>4.8549817799695777E-2</v>
      </c>
    </row>
    <row r="67" spans="9:13" x14ac:dyDescent="0.25">
      <c r="I67">
        <v>516</v>
      </c>
      <c r="J67" s="3">
        <v>3.8600000000000002E-2</v>
      </c>
      <c r="K67" s="3">
        <v>1.5599999999999999E-2</v>
      </c>
      <c r="L67" s="9">
        <v>0.224</v>
      </c>
      <c r="M67" s="12">
        <f>MAX(PARAMETERS!K67*POWER(CHL,-PARAMETERS!L67),0.000000001)</f>
        <v>4.3764764752046721E-2</v>
      </c>
    </row>
    <row r="68" spans="9:13" x14ac:dyDescent="0.25">
      <c r="I68">
        <v>518</v>
      </c>
      <c r="J68" s="3">
        <v>4.0399999999999998E-2</v>
      </c>
      <c r="K68" s="3">
        <v>1.49E-2</v>
      </c>
      <c r="L68" s="9">
        <v>0.21099999999999999</v>
      </c>
      <c r="M68" s="12">
        <f>MAX(PARAMETERS!K68*POWER(CHL,-PARAMETERS!L68),0.000000001)</f>
        <v>3.9371890484096998E-2</v>
      </c>
    </row>
    <row r="69" spans="9:13" x14ac:dyDescent="0.25">
      <c r="I69">
        <v>520</v>
      </c>
      <c r="J69" s="3">
        <v>4.0899999999999999E-2</v>
      </c>
      <c r="K69" s="3">
        <v>1.43E-2</v>
      </c>
      <c r="L69" s="9">
        <v>0.19600000000000001</v>
      </c>
      <c r="M69" s="12">
        <f>MAX(PARAMETERS!K69*POWER(CHL,-PARAMETERS!L69),0.000000001)</f>
        <v>3.5264362522451048E-2</v>
      </c>
    </row>
    <row r="70" spans="9:13" x14ac:dyDescent="0.25">
      <c r="I70">
        <v>522</v>
      </c>
      <c r="J70" s="3">
        <v>4.1599999999999998E-2</v>
      </c>
      <c r="K70" s="3">
        <v>1.37E-2</v>
      </c>
      <c r="L70" s="9">
        <v>0.184</v>
      </c>
      <c r="M70" s="12">
        <f>MAX(PARAMETERS!K70*POWER(CHL,-PARAMETERS!L70),0.000000001)</f>
        <v>3.1968375453249737E-2</v>
      </c>
    </row>
    <row r="71" spans="9:13" x14ac:dyDescent="0.25">
      <c r="I71">
        <v>524</v>
      </c>
      <c r="J71" s="3">
        <v>4.0899999999999999E-2</v>
      </c>
      <c r="K71" s="3">
        <v>1.3100000000000001E-2</v>
      </c>
      <c r="L71" s="9">
        <v>0.17299999999999999</v>
      </c>
      <c r="M71" s="12">
        <f>MAX(PARAMETERS!K71*POWER(CHL,-PARAMETERS!L71),0.000000001)</f>
        <v>2.9058373099382862E-2</v>
      </c>
    </row>
    <row r="72" spans="9:13" x14ac:dyDescent="0.25">
      <c r="I72">
        <v>526</v>
      </c>
      <c r="J72" s="3">
        <v>4.2700000000000002E-2</v>
      </c>
      <c r="K72" s="3">
        <v>1.26E-2</v>
      </c>
      <c r="L72" s="9">
        <v>0.16200000000000001</v>
      </c>
      <c r="M72" s="12">
        <f>MAX(PARAMETERS!K72*POWER(CHL,-PARAMETERS!L72),0.000000001)</f>
        <v>2.6568714689159445E-2</v>
      </c>
    </row>
    <row r="73" spans="9:13" x14ac:dyDescent="0.25">
      <c r="I73">
        <v>528</v>
      </c>
      <c r="J73" s="3">
        <v>4.2299999999999997E-2</v>
      </c>
      <c r="K73" s="3">
        <v>1.21E-2</v>
      </c>
      <c r="L73" s="9">
        <v>0.151</v>
      </c>
      <c r="M73" s="12">
        <f>MAX(PARAMETERS!K73*POWER(CHL,-PARAMETERS!L73),0.000000001)</f>
        <v>2.425411153111845E-2</v>
      </c>
    </row>
    <row r="74" spans="9:13" x14ac:dyDescent="0.25">
      <c r="I74">
        <v>530</v>
      </c>
      <c r="J74" s="3">
        <v>4.2900000000000001E-2</v>
      </c>
      <c r="K74" s="3">
        <v>1.17E-2</v>
      </c>
      <c r="L74" s="9">
        <v>0.13900000000000001</v>
      </c>
      <c r="M74" s="12">
        <f>MAX(PARAMETERS!K74*POWER(CHL,-PARAMETERS!L74),0.000000001)</f>
        <v>2.2191459278170414E-2</v>
      </c>
    </row>
    <row r="75" spans="9:13" x14ac:dyDescent="0.25">
      <c r="I75">
        <v>532</v>
      </c>
      <c r="J75" s="3">
        <v>4.4499999999999998E-2</v>
      </c>
      <c r="K75" s="3">
        <v>1.1299999999999999E-2</v>
      </c>
      <c r="L75" s="9">
        <v>0.129</v>
      </c>
      <c r="M75" s="12">
        <f>MAX(PARAMETERS!K75*POWER(CHL,-PARAMETERS!L75),0.000000001)</f>
        <v>2.0468143046601505E-2</v>
      </c>
    </row>
    <row r="76" spans="9:13" x14ac:dyDescent="0.25">
      <c r="I76">
        <v>534</v>
      </c>
      <c r="J76" s="3">
        <v>4.5600000000000002E-2</v>
      </c>
      <c r="K76" s="3">
        <v>1.0800000000000001E-2</v>
      </c>
      <c r="L76" s="9">
        <v>0.11899999999999999</v>
      </c>
      <c r="M76" s="12">
        <f>MAX(PARAMETERS!K76*POWER(CHL,-PARAMETERS!L76),0.000000001)</f>
        <v>1.8682016679523097E-2</v>
      </c>
    </row>
    <row r="77" spans="9:13" x14ac:dyDescent="0.25">
      <c r="I77">
        <v>536</v>
      </c>
      <c r="J77" s="3">
        <v>4.7E-2</v>
      </c>
      <c r="K77" s="3">
        <v>1.04E-2</v>
      </c>
      <c r="L77" s="9">
        <v>0.109</v>
      </c>
      <c r="M77" s="12">
        <f>MAX(PARAMETERS!K77*POWER(CHL,-PARAMETERS!L77),0.000000001)</f>
        <v>1.7180402701581755E-2</v>
      </c>
    </row>
    <row r="78" spans="9:13" x14ac:dyDescent="0.25">
      <c r="I78">
        <v>538</v>
      </c>
      <c r="J78" s="3">
        <v>4.8000000000000001E-2</v>
      </c>
      <c r="K78" s="3">
        <v>0.01</v>
      </c>
      <c r="L78" s="9">
        <v>0.1</v>
      </c>
      <c r="M78" s="12">
        <f>MAX(PARAMETERS!K78*POWER(CHL,-PARAMETERS!L78),0.000000001)</f>
        <v>1.5848931924611134E-2</v>
      </c>
    </row>
    <row r="79" spans="9:13" x14ac:dyDescent="0.25">
      <c r="I79">
        <v>540</v>
      </c>
      <c r="J79" s="3">
        <v>4.9500000000000002E-2</v>
      </c>
      <c r="K79" s="3">
        <v>9.7000000000000003E-3</v>
      </c>
      <c r="L79" s="9">
        <v>0.09</v>
      </c>
      <c r="M79" s="12">
        <f>MAX(PARAMETERS!K79*POWER(CHL,-PARAMETERS!L79),0.000000001)</f>
        <v>1.468154410983122E-2</v>
      </c>
    </row>
    <row r="80" spans="9:13" x14ac:dyDescent="0.25">
      <c r="I80">
        <v>542</v>
      </c>
      <c r="J80" s="3">
        <v>5.0299999999999997E-2</v>
      </c>
      <c r="K80" s="3">
        <v>9.2999999999999992E-3</v>
      </c>
      <c r="L80" s="9">
        <v>8.1000000000000003E-2</v>
      </c>
      <c r="M80" s="12">
        <f>MAX(PARAMETERS!K80*POWER(CHL,-PARAMETERS!L80),0.000000001)</f>
        <v>1.3504638043566004E-2</v>
      </c>
    </row>
    <row r="81" spans="9:13" x14ac:dyDescent="0.25">
      <c r="I81">
        <v>544</v>
      </c>
      <c r="J81" s="3">
        <v>5.2700000000000004E-2</v>
      </c>
      <c r="K81" s="3">
        <v>8.9999999999999993E-3</v>
      </c>
      <c r="L81" s="9">
        <v>7.2999999999999995E-2</v>
      </c>
      <c r="M81" s="12">
        <f>MAX(PARAMETERS!K81*POWER(CHL,-PARAMETERS!L81),0.000000001)</f>
        <v>1.2596285903153561E-2</v>
      </c>
    </row>
    <row r="82" spans="9:13" x14ac:dyDescent="0.25">
      <c r="I82">
        <v>546</v>
      </c>
      <c r="J82" s="3">
        <v>5.4399999999999997E-2</v>
      </c>
      <c r="K82" s="3">
        <v>8.6E-3</v>
      </c>
      <c r="L82" s="9">
        <v>6.6000000000000003E-2</v>
      </c>
      <c r="M82" s="12">
        <f>MAX(PARAMETERS!K82*POWER(CHL,-PARAMETERS!L82),0.000000001)</f>
        <v>1.1654628946218909E-2</v>
      </c>
    </row>
    <row r="83" spans="9:13" x14ac:dyDescent="0.25">
      <c r="I83">
        <v>548</v>
      </c>
      <c r="J83" s="3">
        <v>5.6400000000000006E-2</v>
      </c>
      <c r="K83" s="3">
        <v>8.3000000000000001E-3</v>
      </c>
      <c r="L83" s="9">
        <v>5.8999999999999997E-2</v>
      </c>
      <c r="M83" s="12">
        <f>MAX(PARAMETERS!K83*POWER(CHL,-PARAMETERS!L83),0.000000001)</f>
        <v>1.0891259161859386E-2</v>
      </c>
    </row>
    <row r="84" spans="9:13" x14ac:dyDescent="0.25">
      <c r="I84">
        <v>550</v>
      </c>
      <c r="J84" s="3">
        <v>5.8799999999999998E-2</v>
      </c>
      <c r="K84" s="3">
        <v>8.0000000000000002E-3</v>
      </c>
      <c r="L84" s="9">
        <v>5.1999999999999998E-2</v>
      </c>
      <c r="M84" s="12">
        <f>MAX(PARAMETERS!K84*POWER(CHL,-PARAMETERS!L84),0.000000001)</f>
        <v>1.0164592841668334E-2</v>
      </c>
    </row>
    <row r="85" spans="9:13" x14ac:dyDescent="0.25">
      <c r="I85">
        <v>552</v>
      </c>
      <c r="J85" s="3">
        <v>6.1100000000000002E-2</v>
      </c>
      <c r="K85" s="3">
        <v>7.6E-3</v>
      </c>
      <c r="L85" s="9">
        <v>4.3999999999999997E-2</v>
      </c>
      <c r="M85" s="12">
        <f>MAX(PARAMETERS!K85*POWER(CHL,-PARAMETERS!L85),0.000000001)</f>
        <v>9.3070831144143693E-3</v>
      </c>
    </row>
    <row r="86" spans="9:13" x14ac:dyDescent="0.25">
      <c r="I86">
        <v>554</v>
      </c>
      <c r="J86" s="3">
        <v>6.3100000000000003E-2</v>
      </c>
      <c r="K86" s="3">
        <v>7.1999999999999998E-3</v>
      </c>
      <c r="L86" s="9">
        <v>3.5999999999999997E-2</v>
      </c>
      <c r="M86" s="12">
        <f>MAX(PARAMETERS!K86*POWER(CHL,-PARAMETERS!L86),0.000000001)</f>
        <v>8.4983085766924538E-3</v>
      </c>
    </row>
    <row r="87" spans="9:13" x14ac:dyDescent="0.25">
      <c r="I87">
        <v>556</v>
      </c>
      <c r="J87" s="3">
        <v>6.4600000000000005E-2</v>
      </c>
      <c r="K87" s="3">
        <v>6.7999999999999996E-3</v>
      </c>
      <c r="L87" s="9">
        <v>2.7E-2</v>
      </c>
      <c r="M87" s="12">
        <f>MAX(PARAMETERS!K87*POWER(CHL,-PARAMETERS!L87),0.000000001)</f>
        <v>7.7003224700017874E-3</v>
      </c>
    </row>
    <row r="88" spans="9:13" x14ac:dyDescent="0.25">
      <c r="I88">
        <v>558</v>
      </c>
      <c r="J88" s="3">
        <v>6.5799999999999997E-2</v>
      </c>
      <c r="K88" s="3">
        <v>6.4999999999999997E-3</v>
      </c>
      <c r="L88" s="9">
        <v>1.6E-2</v>
      </c>
      <c r="M88" s="12">
        <f>MAX(PARAMETERS!K88*POWER(CHL,-PARAMETERS!L88),0.000000001)</f>
        <v>6.9970238885939265E-3</v>
      </c>
    </row>
    <row r="89" spans="9:13" x14ac:dyDescent="0.25">
      <c r="I89">
        <v>560</v>
      </c>
      <c r="J89" s="3">
        <v>6.7199999999999996E-2</v>
      </c>
      <c r="K89" s="3">
        <v>6.1999999999999998E-3</v>
      </c>
      <c r="L89" s="9">
        <v>1.6E-2</v>
      </c>
      <c r="M89" s="12">
        <f>MAX(PARAMETERS!K89*POWER(CHL,-PARAMETERS!L89),0.000000001)</f>
        <v>6.6740843245049761E-3</v>
      </c>
    </row>
    <row r="90" spans="9:13" x14ac:dyDescent="0.25">
      <c r="I90">
        <v>562</v>
      </c>
      <c r="J90" s="3">
        <v>6.8599999999999994E-2</v>
      </c>
      <c r="K90" s="3">
        <v>5.8999999999999999E-3</v>
      </c>
      <c r="L90" s="9">
        <v>1.2999999999999999E-2</v>
      </c>
      <c r="M90" s="12">
        <f>MAX(PARAMETERS!K90*POWER(CHL,-PARAMETERS!L90),0.000000001)</f>
        <v>6.264003787472475E-3</v>
      </c>
    </row>
    <row r="91" spans="9:13" x14ac:dyDescent="0.25">
      <c r="I91">
        <v>564</v>
      </c>
      <c r="J91" s="3">
        <v>6.989999999999999E-2</v>
      </c>
      <c r="K91" s="3">
        <v>5.7000000000000002E-3</v>
      </c>
      <c r="L91" s="9">
        <v>0.01</v>
      </c>
      <c r="M91" s="12">
        <f>MAX(PARAMETERS!K91*POWER(CHL,-PARAMETERS!L91),0.000000001)</f>
        <v>5.9686327238901264E-3</v>
      </c>
    </row>
    <row r="92" spans="9:13" x14ac:dyDescent="0.25">
      <c r="I92">
        <v>566</v>
      </c>
      <c r="J92" s="3">
        <v>7.1800000000000003E-2</v>
      </c>
      <c r="K92" s="3">
        <v>5.4999999999999997E-3</v>
      </c>
      <c r="L92" s="9">
        <v>7.0000000000000001E-3</v>
      </c>
      <c r="M92" s="12">
        <f>MAX(PARAMETERS!K92*POWER(CHL,-PARAMETERS!L92),0.000000001)</f>
        <v>5.680187731687685E-3</v>
      </c>
    </row>
    <row r="93" spans="9:13" x14ac:dyDescent="0.25">
      <c r="I93">
        <v>568</v>
      </c>
      <c r="J93" s="3">
        <v>7.3399999999999993E-2</v>
      </c>
      <c r="K93" s="3">
        <v>5.4000000000000003E-3</v>
      </c>
      <c r="L93" s="9">
        <v>7.0000000000000001E-3</v>
      </c>
      <c r="M93" s="12">
        <f>MAX(PARAMETERS!K93*POWER(CHL,-PARAMETERS!L93),0.000000001)</f>
        <v>5.5769115911115464E-3</v>
      </c>
    </row>
    <row r="94" spans="9:13" x14ac:dyDescent="0.25">
      <c r="I94">
        <v>570</v>
      </c>
      <c r="J94" s="3">
        <v>7.5899999999999995E-2</v>
      </c>
      <c r="K94" s="3">
        <v>5.3E-3</v>
      </c>
      <c r="L94" s="9">
        <v>5.0000000000000001E-3</v>
      </c>
      <c r="M94" s="12">
        <f>MAX(PARAMETERS!K94*POWER(CHL,-PARAMETERS!L94),0.000000001)</f>
        <v>5.4234528590879965E-3</v>
      </c>
    </row>
    <row r="95" spans="9:13" x14ac:dyDescent="0.25">
      <c r="I95">
        <v>572</v>
      </c>
      <c r="J95" s="3">
        <v>7.8700000000000006E-2</v>
      </c>
      <c r="K95" s="3">
        <v>5.3E-3</v>
      </c>
      <c r="L95" s="9">
        <v>1.0999999999999999E-2</v>
      </c>
      <c r="M95" s="12">
        <f>MAX(PARAMETERS!K95*POWER(CHL,-PARAMETERS!L95),0.000000001)</f>
        <v>5.5753979312630807E-3</v>
      </c>
    </row>
    <row r="96" spans="9:13" x14ac:dyDescent="0.25">
      <c r="I96">
        <v>574</v>
      </c>
      <c r="J96" s="3">
        <v>8.1900000000000001E-2</v>
      </c>
      <c r="K96" s="3">
        <v>5.1999999999999998E-3</v>
      </c>
      <c r="L96" s="9">
        <v>1.7999999999999999E-2</v>
      </c>
      <c r="M96" s="12">
        <f>MAX(PARAMETERS!K96*POWER(CHL,-PARAMETERS!L96),0.000000001)</f>
        <v>5.6494132428087408E-3</v>
      </c>
    </row>
    <row r="97" spans="9:13" x14ac:dyDescent="0.25">
      <c r="I97">
        <v>576</v>
      </c>
      <c r="J97" s="3">
        <v>8.5800000000000001E-2</v>
      </c>
      <c r="K97" s="3">
        <v>5.1999999999999998E-3</v>
      </c>
      <c r="L97" s="9">
        <v>2.1999999999999999E-2</v>
      </c>
      <c r="M97" s="12">
        <f>MAX(PARAMETERS!K97*POWER(CHL,-PARAMETERS!L97),0.000000001)</f>
        <v>5.754443676683864E-3</v>
      </c>
    </row>
    <row r="98" spans="9:13" x14ac:dyDescent="0.25">
      <c r="I98">
        <v>578</v>
      </c>
      <c r="J98" s="3">
        <v>8.9599999999999999E-2</v>
      </c>
      <c r="K98" s="3">
        <v>5.1999999999999998E-3</v>
      </c>
      <c r="L98" s="9">
        <v>2.8000000000000001E-2</v>
      </c>
      <c r="M98" s="12">
        <f>MAX(PARAMETERS!K98*POWER(CHL,-PARAMETERS!L98),0.000000001)</f>
        <v>5.9156618862818405E-3</v>
      </c>
    </row>
    <row r="99" spans="9:13" x14ac:dyDescent="0.25">
      <c r="I99">
        <v>580</v>
      </c>
      <c r="J99" s="3">
        <v>9.5200000000000007E-2</v>
      </c>
      <c r="K99" s="3">
        <v>5.3E-3</v>
      </c>
      <c r="L99" s="9">
        <v>3.5000000000000003E-2</v>
      </c>
      <c r="M99" s="12">
        <f>MAX(PARAMETERS!K99*POWER(CHL,-PARAMETERS!L99),0.000000001)</f>
        <v>6.2269570411795068E-3</v>
      </c>
    </row>
    <row r="100" spans="9:13" x14ac:dyDescent="0.25">
      <c r="I100">
        <v>582</v>
      </c>
      <c r="J100" s="3">
        <v>0.1</v>
      </c>
      <c r="K100" s="3">
        <v>5.4000000000000003E-3</v>
      </c>
      <c r="L100" s="9">
        <v>0.04</v>
      </c>
      <c r="M100" s="12">
        <f>MAX(PARAMETERS!K100*POWER(CHL,-PARAMETERS!L100),0.000000001)</f>
        <v>6.49222794693403E-3</v>
      </c>
    </row>
    <row r="101" spans="9:13" x14ac:dyDescent="0.25">
      <c r="I101">
        <v>584</v>
      </c>
      <c r="J101" s="3">
        <v>0.10790000000000001</v>
      </c>
      <c r="K101" s="3">
        <v>5.4999999999999997E-3</v>
      </c>
      <c r="L101" s="9">
        <v>0.05</v>
      </c>
      <c r="M101" s="12">
        <f>MAX(PARAMETERS!K101*POWER(CHL,-PARAMETERS!L101),0.000000001)</f>
        <v>6.9240897648679195E-3</v>
      </c>
    </row>
    <row r="102" spans="9:13" x14ac:dyDescent="0.25">
      <c r="I102">
        <v>586</v>
      </c>
      <c r="J102" s="3">
        <v>0.1159</v>
      </c>
      <c r="K102" s="3">
        <v>5.4999999999999997E-3</v>
      </c>
      <c r="L102" s="9">
        <v>5.6000000000000001E-2</v>
      </c>
      <c r="M102" s="12">
        <f>MAX(PARAMETERS!K102*POWER(CHL,-PARAMETERS!L102),0.000000001)</f>
        <v>7.1180771279749219E-3</v>
      </c>
    </row>
    <row r="103" spans="9:13" x14ac:dyDescent="0.25">
      <c r="I103">
        <v>588</v>
      </c>
      <c r="J103" s="3">
        <v>0.12529999999999999</v>
      </c>
      <c r="K103" s="3">
        <v>5.5999999999999999E-3</v>
      </c>
      <c r="L103" s="9">
        <v>6.5000000000000002E-2</v>
      </c>
      <c r="M103" s="12">
        <f>MAX(PARAMETERS!K103*POWER(CHL,-PARAMETERS!L103),0.000000001)</f>
        <v>7.5541921425132611E-3</v>
      </c>
    </row>
    <row r="104" spans="9:13" x14ac:dyDescent="0.25">
      <c r="I104">
        <v>590</v>
      </c>
      <c r="J104" s="3">
        <v>0.1356</v>
      </c>
      <c r="K104" s="3">
        <v>5.5999999999999999E-3</v>
      </c>
      <c r="L104" s="9">
        <v>7.2999999999999995E-2</v>
      </c>
      <c r="M104" s="12">
        <f>MAX(PARAMETERS!K104*POWER(CHL,-PARAMETERS!L104),0.000000001)</f>
        <v>7.8376890064066618E-3</v>
      </c>
    </row>
    <row r="105" spans="9:13" x14ac:dyDescent="0.25">
      <c r="I105">
        <v>592</v>
      </c>
      <c r="J105" s="3">
        <v>0.1459</v>
      </c>
      <c r="K105" s="3">
        <v>5.7000000000000002E-3</v>
      </c>
      <c r="L105" s="9">
        <v>8.1000000000000003E-2</v>
      </c>
      <c r="M105" s="12">
        <f>MAX(PARAMETERS!K105*POWER(CHL,-PARAMETERS!L105),0.000000001)</f>
        <v>8.2770362202501321E-3</v>
      </c>
    </row>
    <row r="106" spans="9:13" x14ac:dyDescent="0.25">
      <c r="I106">
        <v>594</v>
      </c>
      <c r="J106" s="3">
        <v>0.15670000000000001</v>
      </c>
      <c r="K106" s="3">
        <v>5.5999999999999999E-3</v>
      </c>
      <c r="L106" s="9">
        <v>8.7999999999999995E-2</v>
      </c>
      <c r="M106" s="12">
        <f>MAX(PARAMETERS!K106*POWER(CHL,-PARAMETERS!L106),0.000000001)</f>
        <v>8.3982350788132914E-3</v>
      </c>
    </row>
    <row r="107" spans="9:13" x14ac:dyDescent="0.25">
      <c r="I107">
        <v>596</v>
      </c>
      <c r="J107" s="3">
        <v>0.17</v>
      </c>
      <c r="K107" s="3">
        <v>5.5999999999999999E-3</v>
      </c>
      <c r="L107" s="9">
        <v>9.2999999999999999E-2</v>
      </c>
      <c r="M107" s="12">
        <f>MAX(PARAMETERS!K107*POWER(CHL,-PARAMETERS!L107),0.000000001)</f>
        <v>8.5938551036760479E-3</v>
      </c>
    </row>
    <row r="108" spans="9:13" x14ac:dyDescent="0.25">
      <c r="I108">
        <v>598</v>
      </c>
      <c r="J108" s="3">
        <v>0.186</v>
      </c>
      <c r="K108" s="3">
        <v>5.4999999999999997E-3</v>
      </c>
      <c r="L108" s="9">
        <v>9.5000000000000001E-2</v>
      </c>
      <c r="M108" s="12">
        <f>MAX(PARAMETERS!K108*POWER(CHL,-PARAMETERS!L108),0.000000001)</f>
        <v>8.5184914040186462E-3</v>
      </c>
    </row>
    <row r="109" spans="9:13" x14ac:dyDescent="0.25">
      <c r="I109">
        <v>600</v>
      </c>
      <c r="J109" s="3">
        <v>0.22239999999999999</v>
      </c>
      <c r="K109" s="3">
        <v>5.4000000000000003E-3</v>
      </c>
      <c r="L109" s="9">
        <v>9.1999999999999998E-2</v>
      </c>
      <c r="M109" s="12">
        <f>MAX(PARAMETERS!K109*POWER(CHL,-PARAMETERS!L109),0.000000001)</f>
        <v>8.2488567144855928E-3</v>
      </c>
    </row>
    <row r="110" spans="9:13" x14ac:dyDescent="0.25">
      <c r="I110">
        <v>602</v>
      </c>
      <c r="J110" s="3">
        <v>0.2366</v>
      </c>
      <c r="K110" s="3">
        <v>5.4000000000000003E-3</v>
      </c>
      <c r="L110" s="9">
        <v>8.7999999999999995E-2</v>
      </c>
      <c r="M110" s="12">
        <f>MAX(PARAMETERS!K110*POWER(CHL,-PARAMETERS!L110),0.000000001)</f>
        <v>8.0982981117128181E-3</v>
      </c>
    </row>
    <row r="111" spans="9:13" x14ac:dyDescent="0.25">
      <c r="I111">
        <v>604</v>
      </c>
      <c r="J111" s="3">
        <v>0.24480000000000002</v>
      </c>
      <c r="K111" s="3">
        <v>5.4999999999999997E-3</v>
      </c>
      <c r="L111" s="9">
        <v>8.5999999999999993E-2</v>
      </c>
      <c r="M111" s="12">
        <f>MAX(PARAMETERS!K111*POWER(CHL,-PARAMETERS!L111),0.000000001)</f>
        <v>8.1726460325785375E-3</v>
      </c>
    </row>
    <row r="112" spans="9:13" x14ac:dyDescent="0.25">
      <c r="I112">
        <v>606</v>
      </c>
      <c r="J112" s="3">
        <v>0.25869999999999999</v>
      </c>
      <c r="K112" s="3">
        <v>5.4999999999999997E-3</v>
      </c>
      <c r="L112" s="9">
        <v>8.2000000000000003E-2</v>
      </c>
      <c r="M112" s="12">
        <f>MAX(PARAMETERS!K112*POWER(CHL,-PARAMETERS!L112),0.000000001)</f>
        <v>8.023478431514415E-3</v>
      </c>
    </row>
    <row r="113" spans="9:13" x14ac:dyDescent="0.25">
      <c r="I113">
        <v>608</v>
      </c>
      <c r="J113" s="3">
        <v>0.26529999999999998</v>
      </c>
      <c r="K113" s="3">
        <v>5.5999999999999999E-3</v>
      </c>
      <c r="L113" s="9">
        <v>7.5999999999999998E-2</v>
      </c>
      <c r="M113" s="12">
        <f>MAX(PARAMETERS!K113*POWER(CHL,-PARAMETERS!L113),0.000000001)</f>
        <v>7.9467221214589157E-3</v>
      </c>
    </row>
    <row r="114" spans="9:13" x14ac:dyDescent="0.25">
      <c r="I114">
        <v>610</v>
      </c>
      <c r="J114" s="3">
        <v>0.26910000000000001</v>
      </c>
      <c r="K114" s="3">
        <v>5.7000000000000002E-3</v>
      </c>
      <c r="L114" s="9">
        <v>7.0999999999999994E-2</v>
      </c>
      <c r="M114" s="12">
        <f>MAX(PARAMETERS!K114*POWER(CHL,-PARAMETERS!L114),0.000000001)</f>
        <v>7.9045082245697649E-3</v>
      </c>
    </row>
    <row r="115" spans="9:13" x14ac:dyDescent="0.25">
      <c r="I115">
        <v>612</v>
      </c>
      <c r="J115" s="3">
        <v>0.27150000000000002</v>
      </c>
      <c r="K115" s="3">
        <v>5.8999999999999999E-3</v>
      </c>
      <c r="L115" s="9">
        <v>6.9000000000000006E-2</v>
      </c>
      <c r="M115" s="12">
        <f>MAX(PARAMETERS!K115*POWER(CHL,-PARAMETERS!L115),0.000000001)</f>
        <v>8.1068476525738391E-3</v>
      </c>
    </row>
    <row r="116" spans="9:13" x14ac:dyDescent="0.25">
      <c r="I116">
        <v>614</v>
      </c>
      <c r="J116" s="3">
        <v>0.27399999999999997</v>
      </c>
      <c r="K116" s="3">
        <v>6.0000000000000001E-3</v>
      </c>
      <c r="L116" s="9">
        <v>6.6000000000000003E-2</v>
      </c>
      <c r="M116" s="12">
        <f>MAX(PARAMETERS!K116*POWER(CHL,-PARAMETERS!L116),0.000000001)</f>
        <v>8.1311364741062167E-3</v>
      </c>
    </row>
    <row r="117" spans="9:13" x14ac:dyDescent="0.25">
      <c r="I117">
        <v>616</v>
      </c>
      <c r="J117" s="3">
        <v>0.27639999999999998</v>
      </c>
      <c r="K117" s="3">
        <v>6.1999999999999998E-3</v>
      </c>
      <c r="L117" s="9">
        <v>6.3E-2</v>
      </c>
      <c r="M117" s="12">
        <f>MAX(PARAMETERS!K117*POWER(CHL,-PARAMETERS!L117),0.000000001)</f>
        <v>8.28689220258794E-3</v>
      </c>
    </row>
    <row r="118" spans="9:13" x14ac:dyDescent="0.25">
      <c r="I118">
        <v>618</v>
      </c>
      <c r="J118" s="3">
        <v>0.27850000000000003</v>
      </c>
      <c r="K118" s="3">
        <v>6.3E-3</v>
      </c>
      <c r="L118" s="9">
        <v>6.4000000000000001E-2</v>
      </c>
      <c r="M118" s="12">
        <f>MAX(PARAMETERS!K118*POWER(CHL,-PARAMETERS!L118),0.000000001)</f>
        <v>8.4594192551685418E-3</v>
      </c>
    </row>
    <row r="119" spans="9:13" x14ac:dyDescent="0.25">
      <c r="I119">
        <v>620</v>
      </c>
      <c r="J119" s="3">
        <v>0.28100000000000003</v>
      </c>
      <c r="K119" s="3">
        <v>6.4999999999999997E-3</v>
      </c>
      <c r="L119" s="9">
        <v>6.4000000000000001E-2</v>
      </c>
      <c r="M119" s="12">
        <f>MAX(PARAMETERS!K119*POWER(CHL,-PARAMETERS!L119),0.000000001)</f>
        <v>8.7279722473961145E-3</v>
      </c>
    </row>
    <row r="120" spans="9:13" x14ac:dyDescent="0.25">
      <c r="I120">
        <v>622</v>
      </c>
      <c r="J120" s="3">
        <v>0.28389999999999999</v>
      </c>
      <c r="K120" s="3">
        <v>6.6E-3</v>
      </c>
      <c r="L120" s="9">
        <v>6.8000000000000005E-2</v>
      </c>
      <c r="M120" s="12">
        <f>MAX(PARAMETERS!K120*POWER(CHL,-PARAMETERS!L120),0.000000001)</f>
        <v>9.0270102489326039E-3</v>
      </c>
    </row>
    <row r="121" spans="9:13" x14ac:dyDescent="0.25">
      <c r="I121">
        <v>624</v>
      </c>
      <c r="J121" s="3">
        <v>0.2868</v>
      </c>
      <c r="K121" s="3">
        <v>6.7000000000000002E-3</v>
      </c>
      <c r="L121" s="9">
        <v>7.0999999999999994E-2</v>
      </c>
      <c r="M121" s="12">
        <f>MAX(PARAMETERS!K121*POWER(CHL,-PARAMETERS!L121),0.000000001)</f>
        <v>9.2912640534416526E-3</v>
      </c>
    </row>
    <row r="122" spans="9:13" x14ac:dyDescent="0.25">
      <c r="I122">
        <v>626</v>
      </c>
      <c r="J122" s="3">
        <v>0.2893</v>
      </c>
      <c r="K122" s="3">
        <v>6.7999999999999996E-3</v>
      </c>
      <c r="L122" s="9">
        <v>7.3999999999999996E-2</v>
      </c>
      <c r="M122" s="12">
        <f>MAX(PARAMETERS!K122*POWER(CHL,-PARAMETERS!L122),0.000000001)</f>
        <v>9.561123164083413E-3</v>
      </c>
    </row>
    <row r="123" spans="9:13" x14ac:dyDescent="0.25">
      <c r="I123">
        <v>628</v>
      </c>
      <c r="J123" s="3">
        <v>0.29220000000000002</v>
      </c>
      <c r="K123" s="3">
        <v>6.8999999999999999E-3</v>
      </c>
      <c r="L123" s="9">
        <v>7.5999999999999998E-2</v>
      </c>
      <c r="M123" s="12">
        <f>MAX(PARAMETERS!K123*POWER(CHL,-PARAMETERS!L123),0.000000001)</f>
        <v>9.7914968996547364E-3</v>
      </c>
    </row>
    <row r="124" spans="9:13" x14ac:dyDescent="0.25">
      <c r="I124">
        <v>630</v>
      </c>
      <c r="J124" s="3">
        <v>0.29550000000000004</v>
      </c>
      <c r="K124" s="3">
        <v>7.1000000000000004E-3</v>
      </c>
      <c r="L124" s="9">
        <v>7.8E-2</v>
      </c>
      <c r="M124" s="12">
        <f>MAX(PARAMETERS!K124*POWER(CHL,-PARAMETERS!L124),0.000000001)</f>
        <v>1.0168534084842158E-2</v>
      </c>
    </row>
    <row r="125" spans="9:13" x14ac:dyDescent="0.25">
      <c r="I125">
        <v>632</v>
      </c>
      <c r="J125" s="3">
        <v>0.29880000000000001</v>
      </c>
      <c r="K125" s="3">
        <v>7.3000000000000001E-3</v>
      </c>
      <c r="L125" s="9">
        <v>0.08</v>
      </c>
      <c r="M125" s="12">
        <f>MAX(PARAMETERS!K125*POWER(CHL,-PARAMETERS!L125),0.000000001)</f>
        <v>1.0551710326445271E-2</v>
      </c>
    </row>
    <row r="126" spans="9:13" x14ac:dyDescent="0.25">
      <c r="I126">
        <v>634</v>
      </c>
      <c r="J126" s="3">
        <v>0.30109999999999998</v>
      </c>
      <c r="K126" s="3">
        <v>7.4000000000000003E-3</v>
      </c>
      <c r="L126" s="9">
        <v>8.4000000000000005E-2</v>
      </c>
      <c r="M126" s="12">
        <f>MAX(PARAMETERS!K126*POWER(CHL,-PARAMETERS!L126),0.000000001)</f>
        <v>1.0895112518002121E-2</v>
      </c>
    </row>
    <row r="127" spans="9:13" x14ac:dyDescent="0.25">
      <c r="I127">
        <v>636</v>
      </c>
      <c r="J127" s="3">
        <v>0.30380000000000001</v>
      </c>
      <c r="K127" s="3">
        <v>7.4999999999999997E-3</v>
      </c>
      <c r="L127" s="9">
        <v>8.7999999999999995E-2</v>
      </c>
      <c r="M127" s="12">
        <f>MAX(PARAMETERS!K127*POWER(CHL,-PARAMETERS!L127),0.000000001)</f>
        <v>1.1247636266267801E-2</v>
      </c>
    </row>
    <row r="128" spans="9:13" x14ac:dyDescent="0.25">
      <c r="I128">
        <v>638</v>
      </c>
      <c r="J128" s="3">
        <v>0.30760000000000004</v>
      </c>
      <c r="K128" s="3">
        <v>7.6E-3</v>
      </c>
      <c r="L128" s="9">
        <v>9.2999999999999999E-2</v>
      </c>
      <c r="M128" s="12">
        <f>MAX(PARAMETERS!K128*POWER(CHL,-PARAMETERS!L128),0.000000001)</f>
        <v>1.1663089069274636E-2</v>
      </c>
    </row>
    <row r="129" spans="9:15" x14ac:dyDescent="0.25">
      <c r="I129">
        <v>640</v>
      </c>
      <c r="J129" s="3">
        <v>0.31109999999999999</v>
      </c>
      <c r="K129" s="3">
        <v>7.7000000000000002E-3</v>
      </c>
      <c r="L129" s="9">
        <v>9.8000000000000004E-2</v>
      </c>
      <c r="M129" s="12">
        <f>MAX(PARAMETERS!K129*POWER(CHL,-PARAMETERS!L129),0.000000001)</f>
        <v>1.2091793593368354E-2</v>
      </c>
    </row>
    <row r="130" spans="9:15" x14ac:dyDescent="0.25">
      <c r="I130">
        <v>642</v>
      </c>
      <c r="J130" s="3">
        <v>0.31440000000000001</v>
      </c>
      <c r="K130" s="3">
        <v>7.7999999999999996E-3</v>
      </c>
      <c r="L130" s="9">
        <v>0.105</v>
      </c>
      <c r="M130" s="12">
        <f>MAX(PARAMETERS!K130*POWER(CHL,-PARAMETERS!L130),0.000000001)</f>
        <v>1.2650118759399653E-2</v>
      </c>
    </row>
    <row r="131" spans="9:15" x14ac:dyDescent="0.25">
      <c r="I131">
        <v>644</v>
      </c>
      <c r="J131" s="3">
        <v>0.31809999999999999</v>
      </c>
      <c r="K131" s="3">
        <v>7.9000000000000008E-3</v>
      </c>
      <c r="L131" s="9">
        <v>0.113</v>
      </c>
      <c r="M131" s="12">
        <f>MAX(PARAMETERS!K131*POWER(CHL,-PARAMETERS!L131),0.000000001)</f>
        <v>1.3293125082456695E-2</v>
      </c>
    </row>
    <row r="132" spans="9:15" x14ac:dyDescent="0.25">
      <c r="I132">
        <v>646</v>
      </c>
      <c r="J132" s="3">
        <v>0.32230000000000003</v>
      </c>
      <c r="K132" s="3">
        <v>8.0000000000000002E-3</v>
      </c>
      <c r="L132" s="9">
        <v>0.11899999999999999</v>
      </c>
      <c r="M132" s="12">
        <f>MAX(PARAMETERS!K132*POWER(CHL,-PARAMETERS!L132),0.000000001)</f>
        <v>1.3838530873720813E-2</v>
      </c>
    </row>
    <row r="133" spans="9:15" x14ac:dyDescent="0.25">
      <c r="I133">
        <v>648</v>
      </c>
      <c r="J133" s="3">
        <v>0.32629999999999998</v>
      </c>
      <c r="K133" s="3">
        <v>8.0999999999999996E-3</v>
      </c>
      <c r="L133" s="9">
        <v>0.123</v>
      </c>
      <c r="M133" s="12">
        <f>MAX(PARAMETERS!K133*POWER(CHL,-PARAMETERS!L133),0.000000001)</f>
        <v>1.4272005975934195E-2</v>
      </c>
    </row>
    <row r="134" spans="9:15" x14ac:dyDescent="0.25">
      <c r="I134">
        <v>650</v>
      </c>
      <c r="J134" s="3">
        <v>0.33149999999999996</v>
      </c>
      <c r="K134" s="3">
        <v>8.3000000000000001E-3</v>
      </c>
      <c r="L134" s="9">
        <v>0.124</v>
      </c>
      <c r="M134" s="12">
        <f>MAX(PARAMETERS!K134*POWER(CHL,-PARAMETERS!L134),0.000000001)</f>
        <v>1.4691904354034594E-2</v>
      </c>
    </row>
    <row r="135" spans="9:15" x14ac:dyDescent="0.25">
      <c r="I135">
        <v>652</v>
      </c>
      <c r="J135" s="3">
        <v>0.3362</v>
      </c>
      <c r="K135" s="3">
        <v>8.5000000000000006E-3</v>
      </c>
      <c r="L135" s="9">
        <v>0.125</v>
      </c>
      <c r="M135" s="12">
        <f>MAX(PARAMETERS!K135*POWER(CHL,-PARAMETERS!L135),0.000000001)</f>
        <v>1.5115374985330844E-2</v>
      </c>
    </row>
    <row r="136" spans="9:15" x14ac:dyDescent="0.25">
      <c r="I136">
        <v>654</v>
      </c>
      <c r="J136" s="3">
        <v>0.34229999999999999</v>
      </c>
      <c r="K136" s="3">
        <v>8.8999999999999999E-3</v>
      </c>
      <c r="L136" s="9">
        <v>0.124</v>
      </c>
      <c r="M136" s="12">
        <f>MAX(PARAMETERS!K136*POWER(CHL,-PARAMETERS!L136),0.000000001)</f>
        <v>1.5753969729025048E-2</v>
      </c>
    </row>
    <row r="137" spans="9:15" x14ac:dyDescent="0.25">
      <c r="I137">
        <v>656</v>
      </c>
      <c r="J137" s="3">
        <v>0.3508</v>
      </c>
      <c r="K137" s="3">
        <v>9.4999999999999998E-3</v>
      </c>
      <c r="L137" s="9">
        <v>0.122</v>
      </c>
      <c r="M137" s="12">
        <f>MAX(PARAMETERS!K137*POWER(CHL,-PARAMETERS!L137),0.000000001)</f>
        <v>1.6661864767496731E-2</v>
      </c>
    </row>
    <row r="138" spans="9:15" x14ac:dyDescent="0.25">
      <c r="I138">
        <v>658</v>
      </c>
      <c r="J138" s="3">
        <v>0.36359999999999998</v>
      </c>
      <c r="K138" s="3">
        <v>1.04E-2</v>
      </c>
      <c r="L138" s="9">
        <v>0.12</v>
      </c>
      <c r="M138" s="12">
        <f>MAX(PARAMETERS!K138*POWER(CHL,-PARAMETERS!L138),0.000000001)</f>
        <v>1.8073128618993507E-2</v>
      </c>
    </row>
    <row r="139" spans="9:15" x14ac:dyDescent="0.25">
      <c r="I139">
        <v>660</v>
      </c>
      <c r="J139" s="3">
        <v>0.37909999999999999</v>
      </c>
      <c r="K139" s="3">
        <v>1.15E-2</v>
      </c>
      <c r="L139" s="9">
        <v>0.121</v>
      </c>
      <c r="M139" s="12">
        <f>MAX(PARAMETERS!K139*POWER(CHL,-PARAMETERS!L139),0.000000001)</f>
        <v>2.0076954758585792E-2</v>
      </c>
    </row>
    <row r="140" spans="9:15" x14ac:dyDescent="0.25">
      <c r="I140">
        <v>662</v>
      </c>
      <c r="J140" s="3">
        <v>0.39309999999999995</v>
      </c>
      <c r="K140" s="3">
        <v>1.29E-2</v>
      </c>
      <c r="L140" s="9">
        <v>0.125</v>
      </c>
      <c r="M140" s="12">
        <f>MAX(PARAMETERS!K140*POWER(CHL,-PARAMETERS!L140),0.000000001)</f>
        <v>2.2939804389502105E-2</v>
      </c>
    </row>
    <row r="141" spans="9:15" x14ac:dyDescent="0.25">
      <c r="I141">
        <v>664</v>
      </c>
      <c r="J141" s="3">
        <v>0.40189999999999998</v>
      </c>
      <c r="K141" s="3">
        <v>1.44E-2</v>
      </c>
      <c r="L141" s="9">
        <v>0.13100000000000001</v>
      </c>
      <c r="M141" s="12">
        <f>MAX(PARAMETERS!K141*POWER(CHL,-PARAMETERS!L141),0.000000001)</f>
        <v>2.6324643112455491E-2</v>
      </c>
    </row>
    <row r="142" spans="9:15" x14ac:dyDescent="0.25">
      <c r="I142">
        <v>666</v>
      </c>
      <c r="J142" s="3">
        <v>0.40720000000000001</v>
      </c>
      <c r="K142" s="3">
        <v>1.61E-2</v>
      </c>
      <c r="L142" s="9">
        <v>0.13700000000000001</v>
      </c>
      <c r="M142" s="12">
        <f>MAX(PARAMETERS!K142*POWER(CHL,-PARAMETERS!L142),0.000000001)</f>
        <v>3.0257000750532621E-2</v>
      </c>
    </row>
    <row r="143" spans="9:15" x14ac:dyDescent="0.25">
      <c r="I143">
        <v>668</v>
      </c>
      <c r="J143" s="3">
        <v>0.4098</v>
      </c>
      <c r="K143" s="3">
        <v>1.7600000000000001E-2</v>
      </c>
      <c r="L143" s="9">
        <v>0.14299999999999999</v>
      </c>
      <c r="M143" s="12">
        <f>MAX(PARAMETERS!K143*POWER(CHL,-PARAMETERS!L143),0.000000001)</f>
        <v>3.4002642379497863E-2</v>
      </c>
    </row>
    <row r="144" spans="9:15" x14ac:dyDescent="0.25">
      <c r="I144">
        <v>670</v>
      </c>
      <c r="J144" s="3">
        <v>0.41219999999999996</v>
      </c>
      <c r="K144" s="3">
        <v>1.89E-2</v>
      </c>
      <c r="L144" s="9">
        <v>0.14899999999999999</v>
      </c>
      <c r="M144" s="12">
        <f>MAX(PARAMETERS!K144*POWER(CHL,-PARAMETERS!L144),0.000000001)</f>
        <v>3.7537193938054318E-2</v>
      </c>
      <c r="O144" s="12"/>
    </row>
    <row r="145" spans="9:13" x14ac:dyDescent="0.25">
      <c r="I145">
        <v>672</v>
      </c>
      <c r="J145" s="3">
        <v>0.41499999999999998</v>
      </c>
      <c r="K145" s="3">
        <v>1.9699999999999999E-2</v>
      </c>
      <c r="L145" s="9">
        <v>0.153</v>
      </c>
      <c r="M145" s="12">
        <f>MAX(PARAMETERS!K145*POWER(CHL,-PARAMETERS!L145),0.000000001)</f>
        <v>3.9853477819961944E-2</v>
      </c>
    </row>
    <row r="146" spans="9:13" x14ac:dyDescent="0.25">
      <c r="I146">
        <v>674</v>
      </c>
      <c r="J146" s="3">
        <v>0.41729999999999995</v>
      </c>
      <c r="K146" s="3">
        <v>2.01E-2</v>
      </c>
      <c r="L146" s="9">
        <v>0.157</v>
      </c>
      <c r="M146" s="12">
        <f>MAX(PARAMETERS!K146*POWER(CHL,-PARAMETERS!L146),0.000000001)</f>
        <v>4.1418661256727003E-2</v>
      </c>
    </row>
    <row r="147" spans="9:13" x14ac:dyDescent="0.25">
      <c r="I147">
        <v>676</v>
      </c>
      <c r="J147" s="3">
        <v>0.42230000000000001</v>
      </c>
      <c r="K147" s="3">
        <v>0.02</v>
      </c>
      <c r="L147" s="9">
        <v>0.159</v>
      </c>
      <c r="M147" s="12">
        <f>MAX(PARAMETERS!K147*POWER(CHL,-PARAMETERS!L147),0.000000001)</f>
        <v>4.1593933742073923E-2</v>
      </c>
    </row>
    <row r="148" spans="9:13" x14ac:dyDescent="0.25">
      <c r="I148">
        <v>678</v>
      </c>
      <c r="J148" s="3">
        <v>0.42700000000000005</v>
      </c>
      <c r="K148" s="3">
        <v>1.9300000000000001E-2</v>
      </c>
      <c r="L148" s="9">
        <v>0.158</v>
      </c>
      <c r="M148" s="12">
        <f>MAX(PARAMETERS!K148*POWER(CHL,-PARAMETERS!L148),0.000000001)</f>
        <v>3.9953728031667107E-2</v>
      </c>
    </row>
    <row r="149" spans="9:13" x14ac:dyDescent="0.25">
      <c r="I149">
        <v>680</v>
      </c>
      <c r="J149" s="3">
        <v>0.43179999999999996</v>
      </c>
      <c r="K149" s="3">
        <v>1.8200000000000001E-2</v>
      </c>
      <c r="L149" s="9">
        <v>0.155</v>
      </c>
      <c r="M149" s="12">
        <f>MAX(PARAMETERS!K149*POWER(CHL,-PARAMETERS!L149),0.000000001)</f>
        <v>3.7159630592985431E-2</v>
      </c>
    </row>
    <row r="150" spans="9:13" x14ac:dyDescent="0.25">
      <c r="I150">
        <v>682</v>
      </c>
      <c r="J150" s="3">
        <v>0.43810000000000004</v>
      </c>
      <c r="K150" s="3">
        <v>1.66E-2</v>
      </c>
      <c r="L150" s="9">
        <v>0.14799999999999999</v>
      </c>
      <c r="M150" s="12">
        <f>MAX(PARAMETERS!K150*POWER(CHL,-PARAMETERS!L150),0.000000001)</f>
        <v>3.281769602585688E-2</v>
      </c>
    </row>
    <row r="151" spans="9:13" x14ac:dyDescent="0.25">
      <c r="I151">
        <v>684</v>
      </c>
      <c r="J151" s="3">
        <v>0.44580000000000003</v>
      </c>
      <c r="K151" s="3">
        <v>1.4500000000000001E-2</v>
      </c>
      <c r="L151" s="9">
        <v>0.13800000000000001</v>
      </c>
      <c r="M151" s="12">
        <f>MAX(PARAMETERS!K151*POWER(CHL,-PARAMETERS!L151),0.000000001)</f>
        <v>2.7375874561896257E-2</v>
      </c>
    </row>
    <row r="152" spans="9:13" x14ac:dyDescent="0.25">
      <c r="I152">
        <v>686</v>
      </c>
      <c r="J152" s="3">
        <v>0.45450000000000002</v>
      </c>
      <c r="K152" s="3">
        <v>1.24E-2</v>
      </c>
      <c r="L152" s="9">
        <v>0.124</v>
      </c>
      <c r="M152" s="12">
        <f>MAX(PARAMETERS!K152*POWER(CHL,-PARAMETERS!L152),0.000000001)</f>
        <v>2.1949351083136018E-2</v>
      </c>
    </row>
    <row r="153" spans="9:13" x14ac:dyDescent="0.25">
      <c r="I153">
        <v>688</v>
      </c>
      <c r="J153" s="3">
        <v>0.46460000000000001</v>
      </c>
      <c r="K153" s="3">
        <v>1.0200000000000001E-2</v>
      </c>
      <c r="L153" s="9">
        <v>0.107</v>
      </c>
      <c r="M153" s="12">
        <f>MAX(PARAMETERS!K153*POWER(CHL,-PARAMETERS!L153),0.000000001)</f>
        <v>1.6695528518563648E-2</v>
      </c>
    </row>
    <row r="154" spans="9:13" x14ac:dyDescent="0.25">
      <c r="I154">
        <v>690</v>
      </c>
      <c r="J154" s="3">
        <v>0.47600000000000003</v>
      </c>
      <c r="K154" s="3">
        <v>8.3000000000000001E-3</v>
      </c>
      <c r="L154" s="9">
        <v>8.5999999999999993E-2</v>
      </c>
      <c r="M154" s="12">
        <f>MAX(PARAMETERS!K154*POWER(CHL,-PARAMETERS!L154),0.000000001)</f>
        <v>1.2333265830982158E-2</v>
      </c>
    </row>
    <row r="155" spans="9:13" x14ac:dyDescent="0.25">
      <c r="I155">
        <v>692</v>
      </c>
      <c r="J155" s="3">
        <v>0.49030000000000001</v>
      </c>
      <c r="K155" s="3">
        <v>6.7000000000000002E-3</v>
      </c>
      <c r="L155" s="9">
        <v>6.5000000000000002E-2</v>
      </c>
      <c r="M155" s="12">
        <f>MAX(PARAMETERS!K155*POWER(CHL,-PARAMETERS!L155),0.000000001)</f>
        <v>9.0380513133640813E-3</v>
      </c>
    </row>
    <row r="156" spans="9:13" x14ac:dyDescent="0.25">
      <c r="I156">
        <v>694</v>
      </c>
      <c r="J156" s="3">
        <v>0.5071</v>
      </c>
      <c r="K156" s="3">
        <v>5.4000000000000003E-3</v>
      </c>
      <c r="L156" s="9">
        <v>4.2000000000000003E-2</v>
      </c>
      <c r="M156" s="12">
        <f>MAX(PARAMETERS!K156*POWER(CHL,-PARAMETERS!L156),0.000000001)</f>
        <v>6.5522997925108774E-3</v>
      </c>
    </row>
    <row r="157" spans="9:13" x14ac:dyDescent="0.25">
      <c r="I157">
        <v>696</v>
      </c>
      <c r="J157" s="3">
        <v>0.52440000000000009</v>
      </c>
      <c r="K157" s="3">
        <v>4.4000000000000003E-3</v>
      </c>
      <c r="L157" s="9">
        <v>1.4999999999999999E-2</v>
      </c>
      <c r="M157" s="12">
        <f>MAX(PARAMETERS!K157*POWER(CHL,-PARAMETERS!L157),0.000000001)</f>
        <v>4.7146849430454683E-3</v>
      </c>
    </row>
    <row r="158" spans="9:13" x14ac:dyDescent="0.25">
      <c r="I158">
        <v>698</v>
      </c>
      <c r="J158" s="3">
        <v>0.54700000000000004</v>
      </c>
      <c r="K158" s="3">
        <v>3.5999999999999999E-3</v>
      </c>
      <c r="L158" s="9">
        <v>-1.6E-2</v>
      </c>
      <c r="M158" s="12">
        <f>MAX(PARAMETERS!K158*POWER(CHL,-PARAMETERS!L158),0.000000001)</f>
        <v>3.344278992407771E-3</v>
      </c>
    </row>
    <row r="159" spans="9:13" x14ac:dyDescent="0.25">
      <c r="I159">
        <v>700</v>
      </c>
      <c r="J159" s="3">
        <v>0.57219999999999993</v>
      </c>
      <c r="K159" s="3">
        <v>3.0000000000000001E-3</v>
      </c>
      <c r="L159" s="9">
        <v>-3.4000000000000002E-2</v>
      </c>
      <c r="M159" s="12">
        <f>MAX(PARAMETERS!K159*POWER(CHL,-PARAMETERS!L159),0.000000001)</f>
        <v>2.5652001386540497E-3</v>
      </c>
    </row>
    <row r="160" spans="9:13" x14ac:dyDescent="0.25">
      <c r="I160">
        <v>702</v>
      </c>
      <c r="J160" s="3">
        <v>0.59950000000000003</v>
      </c>
      <c r="K160" s="3">
        <v>3.0000000000000001E-3</v>
      </c>
      <c r="L160" s="9">
        <v>-3.4000000000000002E-2</v>
      </c>
      <c r="M160" s="12">
        <f>MAX(PARAMETERS!K160*POWER(CHL,-PARAMETERS!L160),0.000000001)</f>
        <v>2.5652001386540497E-3</v>
      </c>
    </row>
    <row r="161" spans="9:13" x14ac:dyDescent="0.25">
      <c r="I161">
        <v>704</v>
      </c>
      <c r="J161" s="3">
        <v>0.63029999999999997</v>
      </c>
      <c r="K161" s="3">
        <v>3.0000000000000001E-3</v>
      </c>
      <c r="L161" s="9">
        <v>-3.4000000000000002E-2</v>
      </c>
      <c r="M161" s="12">
        <f>MAX(PARAMETERS!K161*POWER(CHL,-PARAMETERS!L161),0.000000001)</f>
        <v>2.5652001386540497E-3</v>
      </c>
    </row>
    <row r="162" spans="9:13" x14ac:dyDescent="0.25">
      <c r="I162">
        <v>706</v>
      </c>
      <c r="J162" s="3">
        <v>0.66280000000000006</v>
      </c>
      <c r="K162" s="3">
        <v>3.0000000000000001E-3</v>
      </c>
      <c r="L162" s="9">
        <v>-3.4000000000000002E-2</v>
      </c>
      <c r="M162" s="12">
        <f>MAX(PARAMETERS!K162*POWER(CHL,-PARAMETERS!L162),0.000000001)</f>
        <v>2.5652001386540497E-3</v>
      </c>
    </row>
    <row r="163" spans="9:13" x14ac:dyDescent="0.25">
      <c r="I163">
        <v>708</v>
      </c>
      <c r="J163" s="3">
        <v>0.69930000000000003</v>
      </c>
      <c r="K163" s="3">
        <v>3.0000000000000001E-3</v>
      </c>
      <c r="L163" s="9">
        <v>-3.4000000000000002E-2</v>
      </c>
      <c r="M163" s="12">
        <f>MAX(PARAMETERS!K163*POWER(CHL,-PARAMETERS!L163),0.000000001)</f>
        <v>2.5652001386540497E-3</v>
      </c>
    </row>
    <row r="164" spans="9:13" x14ac:dyDescent="0.25">
      <c r="I164">
        <v>710</v>
      </c>
      <c r="J164" s="3">
        <v>0.74149999999999994</v>
      </c>
      <c r="K164" s="3">
        <v>3.0000000000000001E-3</v>
      </c>
      <c r="L164" s="9">
        <v>-3.4000000000000002E-2</v>
      </c>
      <c r="M164" s="12">
        <f>MAX(PARAMETERS!K164*POWER(CHL,-PARAMETERS!L164),0.000000001)</f>
        <v>2.5652001386540497E-3</v>
      </c>
    </row>
    <row r="165" spans="9:13" x14ac:dyDescent="0.25">
      <c r="I165">
        <v>712</v>
      </c>
      <c r="J165" s="3">
        <v>0.78930000000000011</v>
      </c>
      <c r="K165" s="3">
        <v>3.0000000000000001E-3</v>
      </c>
      <c r="L165" s="9">
        <v>-3.4000000000000002E-2</v>
      </c>
      <c r="M165" s="12">
        <f>MAX(PARAMETERS!K165*POWER(CHL,-PARAMETERS!L165),0.000000001)</f>
        <v>2.5652001386540497E-3</v>
      </c>
    </row>
    <row r="166" spans="9:13" x14ac:dyDescent="0.25">
      <c r="I166">
        <v>714</v>
      </c>
      <c r="J166" s="3">
        <v>0.84449999999999992</v>
      </c>
      <c r="K166" s="3">
        <v>3.0000000000000001E-3</v>
      </c>
      <c r="L166" s="9">
        <v>-3.4000000000000002E-2</v>
      </c>
      <c r="M166" s="12">
        <f>MAX(PARAMETERS!K166*POWER(CHL,-PARAMETERS!L166),0.000000001)</f>
        <v>2.5652001386540497E-3</v>
      </c>
    </row>
    <row r="167" spans="9:13" x14ac:dyDescent="0.25">
      <c r="I167">
        <v>716</v>
      </c>
      <c r="J167" s="3">
        <v>0.91090000000000004</v>
      </c>
      <c r="K167" s="3">
        <v>3.0000000000000001E-3</v>
      </c>
      <c r="L167" s="9">
        <v>-3.4000000000000002E-2</v>
      </c>
      <c r="M167" s="12">
        <f>MAX(PARAMETERS!K167*POWER(CHL,-PARAMETERS!L167),0.000000001)</f>
        <v>2.5652001386540497E-3</v>
      </c>
    </row>
    <row r="168" spans="9:13" x14ac:dyDescent="0.25">
      <c r="I168">
        <v>718</v>
      </c>
      <c r="J168" s="3">
        <v>0.98709999999999998</v>
      </c>
      <c r="K168" s="3">
        <v>3.0000000000000001E-3</v>
      </c>
      <c r="L168" s="9">
        <v>-3.4000000000000002E-2</v>
      </c>
      <c r="M168" s="12">
        <f>MAX(PARAMETERS!K168*POWER(CHL,-PARAMETERS!L168),0.000000001)</f>
        <v>2.5652001386540497E-3</v>
      </c>
    </row>
    <row r="169" spans="9:13" x14ac:dyDescent="0.25">
      <c r="I169">
        <v>720</v>
      </c>
      <c r="J169" s="3">
        <v>1.0724</v>
      </c>
      <c r="K169" s="3">
        <v>3.0000000000000001E-3</v>
      </c>
      <c r="L169" s="9">
        <v>-3.4000000000000002E-2</v>
      </c>
      <c r="M169" s="12">
        <f>MAX(PARAMETERS!K169*POWER(CHL,-PARAMETERS!L169),0.000000001)</f>
        <v>2.5652001386540497E-3</v>
      </c>
    </row>
    <row r="170" spans="9:13" x14ac:dyDescent="0.25">
      <c r="I170">
        <v>722</v>
      </c>
      <c r="J170" s="3">
        <v>1.1678999999999999</v>
      </c>
      <c r="K170" s="3">
        <v>3.0000000000000001E-3</v>
      </c>
      <c r="L170" s="9">
        <v>-3.4000000000000002E-2</v>
      </c>
      <c r="M170" s="12">
        <f>MAX(PARAMETERS!K170*POWER(CHL,-PARAMETERS!L170),0.000000001)</f>
        <v>2.5652001386540497E-3</v>
      </c>
    </row>
    <row r="171" spans="9:13" x14ac:dyDescent="0.25">
      <c r="I171">
        <v>724</v>
      </c>
      <c r="J171" s="3">
        <v>1.2684000000000002</v>
      </c>
      <c r="K171" s="3">
        <v>3.0000000000000001E-3</v>
      </c>
      <c r="L171" s="9">
        <v>-3.4000000000000002E-2</v>
      </c>
      <c r="M171" s="12">
        <f>MAX(PARAMETERS!K171*POWER(CHL,-PARAMETERS!L171),0.000000001)</f>
        <v>2.5652001386540497E-3</v>
      </c>
    </row>
    <row r="172" spans="9:13" x14ac:dyDescent="0.25">
      <c r="I172">
        <v>726</v>
      </c>
      <c r="J172" s="3">
        <v>1.3719000000000001</v>
      </c>
      <c r="K172" s="3">
        <v>3.0000000000000001E-3</v>
      </c>
      <c r="L172" s="9">
        <v>-3.4000000000000002E-2</v>
      </c>
      <c r="M172" s="12">
        <f>MAX(PARAMETERS!K172*POWER(CHL,-PARAMETERS!L172),0.000000001)</f>
        <v>2.5652001386540497E-3</v>
      </c>
    </row>
    <row r="173" spans="9:13" x14ac:dyDescent="0.25">
      <c r="I173">
        <v>728</v>
      </c>
      <c r="J173" s="3">
        <v>1.4869999999999999</v>
      </c>
      <c r="K173" s="3">
        <v>3.0000000000000001E-3</v>
      </c>
      <c r="L173" s="9">
        <v>-3.4000000000000002E-2</v>
      </c>
      <c r="M173" s="12">
        <f>MAX(PARAMETERS!K173*POWER(CHL,-PARAMETERS!L173),0.000000001)</f>
        <v>2.5652001386540497E-3</v>
      </c>
    </row>
    <row r="174" spans="9:13" x14ac:dyDescent="0.25">
      <c r="I174">
        <v>730</v>
      </c>
      <c r="J174" s="3">
        <v>1.6211</v>
      </c>
      <c r="K174" s="3">
        <v>3.0000000000000001E-3</v>
      </c>
      <c r="L174" s="9">
        <v>-3.4000000000000002E-2</v>
      </c>
      <c r="M174" s="12">
        <f>MAX(PARAMETERS!K174*POWER(CHL,-PARAMETERS!L174),0.000000001)</f>
        <v>2.5652001386540497E-3</v>
      </c>
    </row>
    <row r="175" spans="9:13" x14ac:dyDescent="0.25">
      <c r="I175">
        <v>732</v>
      </c>
      <c r="J175" s="3">
        <v>1.7871999999999999</v>
      </c>
      <c r="K175" s="3">
        <v>3.0000000000000001E-3</v>
      </c>
      <c r="L175" s="9">
        <v>-3.4000000000000002E-2</v>
      </c>
      <c r="M175" s="12">
        <f>MAX(PARAMETERS!K175*POWER(CHL,-PARAMETERS!L175),0.000000001)</f>
        <v>2.5652001386540497E-3</v>
      </c>
    </row>
    <row r="176" spans="9:13" x14ac:dyDescent="0.25">
      <c r="I176">
        <v>734</v>
      </c>
      <c r="J176" s="3">
        <v>1.9917</v>
      </c>
      <c r="K176" s="3">
        <v>3.0000000000000001E-3</v>
      </c>
      <c r="L176" s="9">
        <v>-3.4000000000000002E-2</v>
      </c>
      <c r="M176" s="12">
        <f>MAX(PARAMETERS!K176*POWER(CHL,-PARAMETERS!L176),0.000000001)</f>
        <v>2.5652001386540497E-3</v>
      </c>
    </row>
    <row r="177" spans="9:13" x14ac:dyDescent="0.25">
      <c r="I177">
        <v>736</v>
      </c>
      <c r="J177" s="3">
        <v>2.2073999999999998</v>
      </c>
      <c r="K177" s="3">
        <v>3.0000000000000001E-3</v>
      </c>
      <c r="L177" s="9">
        <v>-3.4000000000000002E-2</v>
      </c>
      <c r="M177" s="12">
        <f>MAX(PARAMETERS!K177*POWER(CHL,-PARAMETERS!L177),0.000000001)</f>
        <v>2.5652001386540497E-3</v>
      </c>
    </row>
    <row r="178" spans="9:13" x14ac:dyDescent="0.25">
      <c r="I178">
        <v>738</v>
      </c>
      <c r="J178" s="3">
        <v>2.3942000000000001</v>
      </c>
      <c r="K178" s="3">
        <v>3.0000000000000001E-3</v>
      </c>
      <c r="L178" s="9">
        <v>-3.4000000000000002E-2</v>
      </c>
      <c r="M178" s="12">
        <f>MAX(PARAMETERS!K178*POWER(CHL,-PARAMETERS!L178),0.000000001)</f>
        <v>2.5652001386540497E-3</v>
      </c>
    </row>
    <row r="179" spans="9:13" x14ac:dyDescent="0.25">
      <c r="I179">
        <v>740</v>
      </c>
      <c r="J179" s="3">
        <v>2.5319000000000003</v>
      </c>
      <c r="K179" s="3">
        <v>3.0000000000000001E-3</v>
      </c>
      <c r="L179" s="9">
        <v>-3.4000000000000002E-2</v>
      </c>
      <c r="M179" s="12">
        <f>MAX(PARAMETERS!K179*POWER(CHL,-PARAMETERS!L179),0.000000001)</f>
        <v>2.5652001386540497E-3</v>
      </c>
    </row>
    <row r="180" spans="9:13" x14ac:dyDescent="0.25">
      <c r="I180">
        <v>742</v>
      </c>
      <c r="J180" s="3">
        <v>2.6231</v>
      </c>
      <c r="K180" s="3">
        <v>3.0000000000000001E-3</v>
      </c>
      <c r="L180" s="9">
        <v>-3.4000000000000002E-2</v>
      </c>
      <c r="M180" s="12">
        <f>MAX(PARAMETERS!K180*POWER(CHL,-PARAMETERS!L180),0.000000001)</f>
        <v>2.5652001386540497E-3</v>
      </c>
    </row>
    <row r="181" spans="9:13" x14ac:dyDescent="0.25">
      <c r="I181">
        <v>744</v>
      </c>
      <c r="J181" s="3">
        <v>2.6722999999999999</v>
      </c>
      <c r="K181" s="3">
        <v>3.0000000000000001E-3</v>
      </c>
      <c r="L181" s="9">
        <v>-3.4000000000000002E-2</v>
      </c>
      <c r="M181" s="12">
        <f>MAX(PARAMETERS!K181*POWER(CHL,-PARAMETERS!L181),0.000000001)</f>
        <v>2.5652001386540497E-3</v>
      </c>
    </row>
    <row r="182" spans="9:13" x14ac:dyDescent="0.25">
      <c r="I182">
        <v>746</v>
      </c>
      <c r="J182" s="3">
        <v>2.7021000000000002</v>
      </c>
      <c r="K182" s="3">
        <v>3.0000000000000001E-3</v>
      </c>
      <c r="L182" s="9">
        <v>-3.4000000000000002E-2</v>
      </c>
      <c r="M182" s="12">
        <f>MAX(PARAMETERS!K182*POWER(CHL,-PARAMETERS!L182),0.000000001)</f>
        <v>2.5652001386540497E-3</v>
      </c>
    </row>
    <row r="183" spans="9:13" x14ac:dyDescent="0.25">
      <c r="I183">
        <v>748</v>
      </c>
      <c r="J183" s="3">
        <v>2.7216</v>
      </c>
      <c r="K183" s="3">
        <v>3.0000000000000001E-3</v>
      </c>
      <c r="L183" s="9">
        <v>-3.4000000000000002E-2</v>
      </c>
      <c r="M183" s="12">
        <f>MAX(PARAMETERS!K183*POWER(CHL,-PARAMETERS!L183),0.000000001)</f>
        <v>2.5652001386540497E-3</v>
      </c>
    </row>
    <row r="184" spans="9:13" x14ac:dyDescent="0.25">
      <c r="I184">
        <v>750</v>
      </c>
      <c r="J184" s="3">
        <v>2.7334000000000001</v>
      </c>
      <c r="K184" s="3">
        <v>3.0000000000000001E-3</v>
      </c>
      <c r="L184" s="9">
        <v>-3.4000000000000002E-2</v>
      </c>
      <c r="M184" s="12">
        <f>MAX(PARAMETERS!K184*POWER(CHL,-PARAMETERS!L184),0.000000001)</f>
        <v>2.5652001386540497E-3</v>
      </c>
    </row>
    <row r="185" spans="9:13" x14ac:dyDescent="0.25">
      <c r="I185">
        <v>752</v>
      </c>
      <c r="J185" s="3">
        <v>2.7412999999999998</v>
      </c>
      <c r="K185" s="3">
        <v>3.0000000000000001E-3</v>
      </c>
      <c r="L185" s="9">
        <v>-3.4000000000000002E-2</v>
      </c>
      <c r="M185" s="12">
        <f>MAX(PARAMETERS!K185*POWER(CHL,-PARAMETERS!L185),0.000000001)</f>
        <v>2.5652001386540497E-3</v>
      </c>
    </row>
    <row r="186" spans="9:13" x14ac:dyDescent="0.25">
      <c r="I186">
        <v>754</v>
      </c>
      <c r="J186" s="3">
        <v>2.7477999999999998</v>
      </c>
      <c r="K186" s="3">
        <v>3.0000000000000001E-3</v>
      </c>
      <c r="L186" s="9">
        <v>-3.4000000000000002E-2</v>
      </c>
      <c r="M186" s="12">
        <f>MAX(PARAMETERS!K186*POWER(CHL,-PARAMETERS!L186),0.000000001)</f>
        <v>2.5652001386540497E-3</v>
      </c>
    </row>
    <row r="187" spans="9:13" x14ac:dyDescent="0.25">
      <c r="I187">
        <v>756</v>
      </c>
      <c r="J187" s="3">
        <v>2.7542</v>
      </c>
      <c r="K187" s="3">
        <v>3.0000000000000001E-3</v>
      </c>
      <c r="L187" s="9">
        <v>-3.4000000000000002E-2</v>
      </c>
      <c r="M187" s="12">
        <f>MAX(PARAMETERS!K187*POWER(CHL,-PARAMETERS!L187),0.000000001)</f>
        <v>2.5652001386540497E-3</v>
      </c>
    </row>
    <row r="188" spans="9:13" x14ac:dyDescent="0.25">
      <c r="I188">
        <v>758</v>
      </c>
      <c r="J188" s="3">
        <v>2.7627999999999999</v>
      </c>
      <c r="K188" s="3">
        <v>3.0000000000000001E-3</v>
      </c>
      <c r="L188" s="9">
        <v>-3.4000000000000002E-2</v>
      </c>
      <c r="M188" s="12">
        <f>MAX(PARAMETERS!K188*POWER(CHL,-PARAMETERS!L188),0.000000001)</f>
        <v>2.5652001386540497E-3</v>
      </c>
    </row>
    <row r="189" spans="9:13" x14ac:dyDescent="0.25">
      <c r="I189">
        <v>760</v>
      </c>
      <c r="J189" s="3">
        <v>2.7709999999999999</v>
      </c>
      <c r="K189" s="3">
        <v>3.0000000000000001E-3</v>
      </c>
      <c r="L189" s="9">
        <v>-3.4000000000000002E-2</v>
      </c>
      <c r="M189" s="12">
        <f>MAX(PARAMETERS!K189*POWER(CHL,-PARAMETERS!L189),0.000000001)</f>
        <v>2.5652001386540497E-3</v>
      </c>
    </row>
    <row r="190" spans="9:13" x14ac:dyDescent="0.25">
      <c r="I190">
        <v>762</v>
      </c>
      <c r="J190" s="3">
        <v>2.7732999999999999</v>
      </c>
      <c r="K190" s="3">
        <v>3.0000000000000001E-3</v>
      </c>
      <c r="L190" s="9">
        <v>-3.4000000000000002E-2</v>
      </c>
      <c r="M190" s="12">
        <f>MAX(PARAMETERS!K190*POWER(CHL,-PARAMETERS!L190),0.000000001)</f>
        <v>2.5652001386540497E-3</v>
      </c>
    </row>
    <row r="191" spans="9:13" x14ac:dyDescent="0.25">
      <c r="I191">
        <v>764</v>
      </c>
      <c r="J191" s="3">
        <v>2.7742</v>
      </c>
      <c r="K191" s="3">
        <v>3.0000000000000001E-3</v>
      </c>
      <c r="L191" s="9">
        <v>-3.4000000000000002E-2</v>
      </c>
      <c r="M191" s="12">
        <f>MAX(PARAMETERS!K191*POWER(CHL,-PARAMETERS!L191),0.000000001)</f>
        <v>2.5652001386540497E-3</v>
      </c>
    </row>
    <row r="192" spans="9:13" x14ac:dyDescent="0.25">
      <c r="I192">
        <v>766</v>
      </c>
      <c r="J192" s="3">
        <v>2.7700999999999998</v>
      </c>
      <c r="K192" s="3">
        <v>3.0000000000000001E-3</v>
      </c>
      <c r="L192" s="9">
        <v>-3.4000000000000002E-2</v>
      </c>
      <c r="M192" s="12">
        <f>MAX(PARAMETERS!K192*POWER(CHL,-PARAMETERS!L192),0.000000001)</f>
        <v>2.5652001386540497E-3</v>
      </c>
    </row>
    <row r="193" spans="9:18" x14ac:dyDescent="0.25">
      <c r="I193">
        <v>768</v>
      </c>
      <c r="J193" s="3">
        <v>2.7610000000000001</v>
      </c>
      <c r="K193" s="3">
        <v>3.0000000000000001E-3</v>
      </c>
      <c r="L193" s="9">
        <v>-3.4000000000000002E-2</v>
      </c>
      <c r="M193" s="12">
        <f>MAX(PARAMETERS!K193*POWER(CHL,-PARAMETERS!L193),0.000000001)</f>
        <v>2.5652001386540497E-3</v>
      </c>
    </row>
    <row r="194" spans="9:18" x14ac:dyDescent="0.25">
      <c r="I194">
        <v>770</v>
      </c>
      <c r="J194" s="3">
        <v>2.7542</v>
      </c>
      <c r="K194" s="3">
        <v>3.0000000000000001E-3</v>
      </c>
      <c r="L194" s="9">
        <v>-3.4000000000000002E-2</v>
      </c>
      <c r="M194" s="12">
        <f>MAX(PARAMETERS!K194*POWER(CHL,-PARAMETERS!L194),0.000000001)</f>
        <v>2.5652001386540497E-3</v>
      </c>
    </row>
    <row r="195" spans="9:18" x14ac:dyDescent="0.25">
      <c r="I195">
        <v>772</v>
      </c>
      <c r="J195" s="3">
        <v>2.7481999999999998</v>
      </c>
      <c r="K195" s="3">
        <v>3.0000000000000001E-3</v>
      </c>
      <c r="L195" s="9">
        <v>-3.4000000000000002E-2</v>
      </c>
      <c r="M195" s="12">
        <f>MAX(PARAMETERS!K195*POWER(CHL,-PARAMETERS!L195),0.000000001)</f>
        <v>2.5652001386540497E-3</v>
      </c>
    </row>
    <row r="196" spans="9:18" x14ac:dyDescent="0.25">
      <c r="I196">
        <v>774</v>
      </c>
      <c r="J196" s="3">
        <v>2.7305000000000001</v>
      </c>
      <c r="K196" s="3">
        <v>3.0000000000000001E-3</v>
      </c>
      <c r="L196" s="9">
        <v>-3.4000000000000002E-2</v>
      </c>
      <c r="M196" s="12">
        <f>MAX(PARAMETERS!K196*POWER(CHL,-PARAMETERS!L196),0.000000001)</f>
        <v>2.5652001386540497E-3</v>
      </c>
    </row>
    <row r="197" spans="9:18" x14ac:dyDescent="0.25">
      <c r="I197">
        <v>776</v>
      </c>
      <c r="J197" s="3">
        <v>2.7096999999999998</v>
      </c>
      <c r="K197" s="3">
        <v>3.0000000000000001E-3</v>
      </c>
      <c r="L197" s="9">
        <v>-3.4000000000000002E-2</v>
      </c>
      <c r="M197" s="12">
        <f>MAX(PARAMETERS!K197*POWER(CHL,-PARAMETERS!L197),0.000000001)</f>
        <v>2.5652001386540497E-3</v>
      </c>
    </row>
    <row r="198" spans="9:18" x14ac:dyDescent="0.25">
      <c r="I198">
        <v>778</v>
      </c>
      <c r="J198" s="3">
        <v>2.6896</v>
      </c>
      <c r="K198" s="3">
        <v>3.0000000000000001E-3</v>
      </c>
      <c r="L198" s="9">
        <v>-3.4000000000000002E-2</v>
      </c>
      <c r="M198" s="12">
        <f>MAX(PARAMETERS!K198*POWER(CHL,-PARAMETERS!L198),0.000000001)</f>
        <v>2.5652001386540497E-3</v>
      </c>
    </row>
    <row r="199" spans="9:18" x14ac:dyDescent="0.25">
      <c r="I199">
        <v>780</v>
      </c>
      <c r="J199" s="3">
        <v>2.6589999999999998</v>
      </c>
      <c r="K199" s="3">
        <v>3.0000000000000001E-3</v>
      </c>
      <c r="L199" s="9">
        <v>-3.4000000000000002E-2</v>
      </c>
      <c r="M199" s="12">
        <f>MAX(PARAMETERS!K199*POWER(CHL,-PARAMETERS!L199),0.000000001)</f>
        <v>2.5652001386540497E-3</v>
      </c>
    </row>
    <row r="200" spans="9:18" x14ac:dyDescent="0.25">
      <c r="I200">
        <v>782</v>
      </c>
      <c r="J200" s="3">
        <v>2.6332</v>
      </c>
      <c r="K200" s="3">
        <v>3.0000000000000001E-3</v>
      </c>
      <c r="L200" s="9">
        <v>-3.4000000000000002E-2</v>
      </c>
      <c r="M200" s="12">
        <f>MAX(PARAMETERS!K200*POWER(CHL,-PARAMETERS!L200),0.000000001)</f>
        <v>2.5652001386540497E-3</v>
      </c>
    </row>
    <row r="201" spans="9:18" x14ac:dyDescent="0.25">
      <c r="I201">
        <v>784</v>
      </c>
      <c r="J201" s="3">
        <v>2.6061999999999999</v>
      </c>
      <c r="K201" s="3">
        <v>3.0000000000000001E-3</v>
      </c>
      <c r="L201" s="9">
        <v>-3.4000000000000002E-2</v>
      </c>
      <c r="M201" s="12">
        <f>MAX(PARAMETERS!K201*POWER(CHL,-PARAMETERS!L201),0.000000001)</f>
        <v>2.5652001386540497E-3</v>
      </c>
    </row>
    <row r="202" spans="9:18" x14ac:dyDescent="0.25">
      <c r="I202">
        <v>786</v>
      </c>
      <c r="J202" s="3">
        <v>2.5701999999999998</v>
      </c>
      <c r="K202" s="3">
        <v>3.0000000000000001E-3</v>
      </c>
      <c r="L202" s="9">
        <v>-3.4000000000000002E-2</v>
      </c>
      <c r="M202" s="12">
        <f>MAX(PARAMETERS!K202*POWER(CHL,-PARAMETERS!L202),0.000000001)</f>
        <v>2.5652001386540497E-3</v>
      </c>
    </row>
    <row r="203" spans="9:18" x14ac:dyDescent="0.25">
      <c r="I203">
        <v>788</v>
      </c>
      <c r="J203" s="3">
        <v>2.5335000000000001</v>
      </c>
      <c r="K203" s="3">
        <v>3.0000000000000001E-3</v>
      </c>
      <c r="L203" s="9">
        <v>-3.4000000000000002E-2</v>
      </c>
      <c r="M203" s="12">
        <f>MAX(PARAMETERS!K203*POWER(CHL,-PARAMETERS!L203),0.000000001)</f>
        <v>2.5652001386540497E-3</v>
      </c>
    </row>
    <row r="204" spans="9:18" x14ac:dyDescent="0.25">
      <c r="I204">
        <v>790</v>
      </c>
      <c r="J204" s="3">
        <v>2.4923999999999999</v>
      </c>
      <c r="K204" s="3">
        <v>3.0000000000000001E-3</v>
      </c>
      <c r="L204" s="9">
        <v>-3.4000000000000002E-2</v>
      </c>
      <c r="M204" s="12">
        <f>MAX(PARAMETERS!K204*POWER(CHL,-PARAMETERS!L204),0.000000001)</f>
        <v>2.5652001386540497E-3</v>
      </c>
    </row>
    <row r="205" spans="9:18" x14ac:dyDescent="0.25">
      <c r="I205">
        <v>792</v>
      </c>
      <c r="J205" s="3">
        <v>2.4480999999999997</v>
      </c>
      <c r="K205" s="3">
        <v>3.0000000000000001E-3</v>
      </c>
      <c r="L205" s="9">
        <v>-3.4000000000000002E-2</v>
      </c>
      <c r="M205" s="12">
        <f>MAX(PARAMETERS!K205*POWER(CHL,-PARAMETERS!L205),0.000000001)</f>
        <v>2.5652001386540497E-3</v>
      </c>
    </row>
    <row r="206" spans="9:18" x14ac:dyDescent="0.25">
      <c r="I206">
        <v>794</v>
      </c>
      <c r="J206" s="3">
        <v>2.4083000000000001</v>
      </c>
      <c r="K206" s="3">
        <v>3.0000000000000001E-3</v>
      </c>
      <c r="L206" s="9">
        <v>-3.4000000000000002E-2</v>
      </c>
      <c r="M206" s="12">
        <f>MAX(PARAMETERS!K206*POWER(CHL,-PARAMETERS!L206),0.000000001)</f>
        <v>2.5652001386540497E-3</v>
      </c>
    </row>
    <row r="207" spans="9:18" x14ac:dyDescent="0.25">
      <c r="I207">
        <v>796</v>
      </c>
      <c r="J207" s="3">
        <v>2.3742000000000001</v>
      </c>
      <c r="K207" s="3">
        <v>3.0000000000000001E-3</v>
      </c>
      <c r="L207" s="9">
        <v>-3.4000000000000002E-2</v>
      </c>
      <c r="M207" s="12">
        <f>MAX(PARAMETERS!K207*POWER(CHL,-PARAMETERS!L207),0.000000001)</f>
        <v>2.5652001386540497E-3</v>
      </c>
      <c r="Q207" s="31"/>
      <c r="R207" s="31"/>
    </row>
    <row r="208" spans="9:18" x14ac:dyDescent="0.25">
      <c r="I208">
        <v>798</v>
      </c>
      <c r="J208" s="3">
        <v>2.3331999999999997</v>
      </c>
      <c r="K208" s="3">
        <v>3.0000000000000001E-3</v>
      </c>
      <c r="L208" s="9">
        <v>-3.4000000000000002E-2</v>
      </c>
      <c r="M208" s="12">
        <f>MAX(PARAMETERS!K208*POWER(CHL,-PARAMETERS!L208),0.000000001)</f>
        <v>2.5652001386540497E-3</v>
      </c>
      <c r="Q208" s="31"/>
      <c r="R208" s="31"/>
    </row>
    <row r="209" spans="9:18" x14ac:dyDescent="0.25">
      <c r="I209">
        <v>800</v>
      </c>
      <c r="J209" s="3">
        <v>2.2932000000000001</v>
      </c>
      <c r="K209" s="3">
        <v>3.0000000000000001E-3</v>
      </c>
      <c r="L209" s="9">
        <v>-3.4000000000000002E-2</v>
      </c>
      <c r="M209" s="12">
        <f>MAX(PARAMETERS!K209*POWER(CHL,-PARAMETERS!L209),0.000000001)</f>
        <v>2.5652001386540497E-3</v>
      </c>
      <c r="Q209" s="31"/>
      <c r="R209" s="31"/>
    </row>
    <row r="210" spans="9:18" x14ac:dyDescent="0.25">
      <c r="I210">
        <v>802</v>
      </c>
      <c r="J210" s="3">
        <v>2.2281599999999999</v>
      </c>
      <c r="K210" s="3">
        <v>3.0000000000000001E-3</v>
      </c>
      <c r="L210" s="9">
        <v>-3.4000000000000002E-2</v>
      </c>
      <c r="M210" s="12">
        <f>MAX(PARAMETERS!K210*POWER(CHL,-PARAMETERS!L210),0.000000001)</f>
        <v>2.5652001386540497E-3</v>
      </c>
      <c r="Q210" s="31"/>
      <c r="R210" s="31"/>
    </row>
    <row r="211" spans="9:18" x14ac:dyDescent="0.25">
      <c r="I211">
        <v>804</v>
      </c>
      <c r="J211" s="3">
        <v>2.2101199999999999</v>
      </c>
      <c r="K211" s="3">
        <v>3.0000000000000001E-3</v>
      </c>
      <c r="L211" s="9">
        <v>-3.4000000000000002E-2</v>
      </c>
      <c r="M211" s="12">
        <f>MAX(PARAMETERS!K211*POWER(CHL,-PARAMETERS!L211),0.000000001)</f>
        <v>2.5652001386540497E-3</v>
      </c>
      <c r="Q211" s="31"/>
      <c r="R211" s="31"/>
    </row>
    <row r="212" spans="9:18" x14ac:dyDescent="0.25">
      <c r="I212">
        <v>806</v>
      </c>
      <c r="J212" s="3">
        <v>2.1983800000000002</v>
      </c>
      <c r="K212" s="3">
        <v>3.0000000000000001E-3</v>
      </c>
      <c r="L212" s="9">
        <v>-3.4000000000000002E-2</v>
      </c>
      <c r="M212" s="12">
        <f>MAX(PARAMETERS!K212*POWER(CHL,-PARAMETERS!L212),0.000000001)</f>
        <v>2.5652001386540497E-3</v>
      </c>
      <c r="Q212" s="31"/>
      <c r="R212" s="31"/>
    </row>
    <row r="213" spans="9:18" x14ac:dyDescent="0.25">
      <c r="I213">
        <v>808</v>
      </c>
      <c r="J213" s="3">
        <v>2.1929400000000001</v>
      </c>
      <c r="K213" s="3">
        <v>3.0000000000000001E-3</v>
      </c>
      <c r="L213" s="9">
        <v>-3.4000000000000002E-2</v>
      </c>
      <c r="M213" s="12">
        <f>MAX(PARAMETERS!K213*POWER(CHL,-PARAMETERS!L213),0.000000001)</f>
        <v>2.5652001386540497E-3</v>
      </c>
      <c r="Q213" s="31"/>
      <c r="R213" s="31"/>
    </row>
    <row r="214" spans="9:18" x14ac:dyDescent="0.25">
      <c r="I214">
        <v>810</v>
      </c>
      <c r="J214" s="3">
        <v>2.1875</v>
      </c>
      <c r="K214" s="3">
        <v>3.0000000000000001E-3</v>
      </c>
      <c r="L214" s="9">
        <v>-3.4000000000000002E-2</v>
      </c>
      <c r="M214" s="12">
        <f>MAX(PARAMETERS!K214*POWER(CHL,-PARAMETERS!L214),0.000000001)</f>
        <v>2.5652001386540497E-3</v>
      </c>
      <c r="Q214" s="31"/>
      <c r="R214" s="31"/>
    </row>
    <row r="215" spans="9:18" x14ac:dyDescent="0.25">
      <c r="I215">
        <v>812</v>
      </c>
      <c r="J215" s="3">
        <v>2.2016999999999998</v>
      </c>
      <c r="K215" s="3">
        <v>3.0000000000000001E-3</v>
      </c>
      <c r="L215" s="9">
        <v>-3.4000000000000002E-2</v>
      </c>
      <c r="M215" s="12">
        <f>MAX(PARAMETERS!K215*POWER(CHL,-PARAMETERS!L215),0.000000001)</f>
        <v>2.5652001386540497E-3</v>
      </c>
      <c r="Q215" s="31"/>
      <c r="R215" s="31"/>
    </row>
    <row r="216" spans="9:18" x14ac:dyDescent="0.25">
      <c r="I216">
        <v>814</v>
      </c>
      <c r="J216" s="3">
        <v>2.2159</v>
      </c>
      <c r="K216" s="3">
        <v>3.0000000000000001E-3</v>
      </c>
      <c r="L216" s="9">
        <v>-3.4000000000000002E-2</v>
      </c>
      <c r="M216" s="12">
        <f>MAX(PARAMETERS!K216*POWER(CHL,-PARAMETERS!L216),0.000000001)</f>
        <v>2.5652001386540497E-3</v>
      </c>
      <c r="Q216" s="31"/>
      <c r="R216" s="31"/>
    </row>
    <row r="217" spans="9:18" x14ac:dyDescent="0.25">
      <c r="I217">
        <v>816</v>
      </c>
      <c r="J217" s="3">
        <v>2.2442799999999998</v>
      </c>
      <c r="K217" s="3">
        <v>3.0000000000000001E-3</v>
      </c>
      <c r="L217" s="9">
        <v>-3.4000000000000002E-2</v>
      </c>
      <c r="M217" s="12">
        <f>MAX(PARAMETERS!K217*POWER(CHL,-PARAMETERS!L217),0.000000001)</f>
        <v>2.5652001386540497E-3</v>
      </c>
      <c r="Q217" s="31"/>
      <c r="R217" s="31"/>
    </row>
    <row r="218" spans="9:18" x14ac:dyDescent="0.25">
      <c r="I218">
        <v>818</v>
      </c>
      <c r="J218" s="3">
        <v>2.2868399999999998</v>
      </c>
      <c r="K218" s="3">
        <v>3.0000000000000001E-3</v>
      </c>
      <c r="L218" s="9">
        <v>-3.4000000000000002E-2</v>
      </c>
      <c r="M218" s="12">
        <f>MAX(PARAMETERS!K218*POWER(CHL,-PARAMETERS!L218),0.000000001)</f>
        <v>2.5652001386540497E-3</v>
      </c>
      <c r="Q218" s="31"/>
      <c r="R218" s="31"/>
    </row>
    <row r="219" spans="9:18" x14ac:dyDescent="0.25">
      <c r="I219">
        <v>820</v>
      </c>
      <c r="J219" s="3">
        <v>2.3294000000000001</v>
      </c>
      <c r="K219" s="3">
        <v>3.0000000000000001E-3</v>
      </c>
      <c r="L219" s="9">
        <v>-3.4000000000000002E-2</v>
      </c>
      <c r="M219" s="12">
        <f>MAX(PARAMETERS!K219*POWER(CHL,-PARAMETERS!L219),0.000000001)</f>
        <v>2.5652001386540497E-3</v>
      </c>
      <c r="Q219" s="31"/>
      <c r="R219" s="31"/>
    </row>
    <row r="220" spans="9:18" x14ac:dyDescent="0.25">
      <c r="I220">
        <v>822</v>
      </c>
      <c r="J220" s="3">
        <v>2.4455999999999998</v>
      </c>
      <c r="K220" s="3">
        <v>3.0000000000000001E-3</v>
      </c>
      <c r="L220" s="9">
        <v>-3.4000000000000002E-2</v>
      </c>
      <c r="M220" s="12">
        <f>MAX(PARAMETERS!K220*POWER(CHL,-PARAMETERS!L220),0.000000001)</f>
        <v>2.5652001386540497E-3</v>
      </c>
      <c r="Q220" s="31"/>
      <c r="R220" s="31"/>
    </row>
    <row r="221" spans="9:18" x14ac:dyDescent="0.25">
      <c r="I221">
        <v>824</v>
      </c>
      <c r="J221" s="3">
        <v>2.5617999999999999</v>
      </c>
      <c r="K221" s="3">
        <v>3.0000000000000001E-3</v>
      </c>
      <c r="L221" s="9">
        <v>-3.4000000000000002E-2</v>
      </c>
      <c r="M221" s="12">
        <f>MAX(PARAMETERS!K221*POWER(CHL,-PARAMETERS!L221),0.000000001)</f>
        <v>2.5652001386540497E-3</v>
      </c>
      <c r="Q221" s="31"/>
      <c r="R221" s="31"/>
    </row>
    <row r="222" spans="9:18" x14ac:dyDescent="0.25">
      <c r="I222">
        <v>826</v>
      </c>
      <c r="J222" s="3">
        <v>2.7174200000000002</v>
      </c>
      <c r="K222" s="3">
        <v>3.0000000000000001E-3</v>
      </c>
      <c r="L222" s="9">
        <v>-3.4000000000000002E-2</v>
      </c>
      <c r="M222" s="12">
        <f>MAX(PARAMETERS!K222*POWER(CHL,-PARAMETERS!L222),0.000000001)</f>
        <v>2.5652001386540497E-3</v>
      </c>
      <c r="Q222" s="31"/>
      <c r="R222" s="31"/>
    </row>
    <row r="223" spans="9:18" x14ac:dyDescent="0.25">
      <c r="I223">
        <v>828</v>
      </c>
      <c r="J223" s="3">
        <v>2.9124599999999998</v>
      </c>
      <c r="K223" s="3">
        <v>3.0000000000000001E-3</v>
      </c>
      <c r="L223" s="9">
        <v>-3.4000000000000002E-2</v>
      </c>
      <c r="M223" s="12">
        <f>MAX(PARAMETERS!K223*POWER(CHL,-PARAMETERS!L223),0.000000001)</f>
        <v>2.5652001386540497E-3</v>
      </c>
      <c r="Q223" s="31"/>
      <c r="R223" s="31"/>
    </row>
    <row r="224" spans="9:18" x14ac:dyDescent="0.25">
      <c r="I224">
        <v>830</v>
      </c>
      <c r="J224" s="3">
        <v>3.1074999999999999</v>
      </c>
      <c r="K224" s="3">
        <v>3.0000000000000001E-3</v>
      </c>
      <c r="L224" s="9">
        <v>-3.4000000000000002E-2</v>
      </c>
      <c r="M224" s="12">
        <f>MAX(PARAMETERS!K224*POWER(CHL,-PARAMETERS!L224),0.000000001)</f>
        <v>2.5652001386540497E-3</v>
      </c>
      <c r="Q224" s="31"/>
      <c r="R224" s="31"/>
    </row>
    <row r="225" spans="9:18" x14ac:dyDescent="0.25">
      <c r="I225">
        <v>832</v>
      </c>
      <c r="J225" s="3">
        <v>3.3453799999999996</v>
      </c>
      <c r="K225" s="3">
        <v>3.0000000000000001E-3</v>
      </c>
      <c r="L225" s="9">
        <v>-3.4000000000000002E-2</v>
      </c>
      <c r="M225" s="12">
        <f>MAX(PARAMETERS!K225*POWER(CHL,-PARAMETERS!L225),0.000000001)</f>
        <v>2.5652001386540497E-3</v>
      </c>
      <c r="Q225" s="31"/>
      <c r="R225" s="31"/>
    </row>
    <row r="226" spans="9:18" x14ac:dyDescent="0.25">
      <c r="I226">
        <v>834</v>
      </c>
      <c r="J226" s="3">
        <v>3.5832599999999997</v>
      </c>
      <c r="K226" s="3">
        <v>3.0000000000000001E-3</v>
      </c>
      <c r="L226" s="9">
        <v>-3.4000000000000002E-2</v>
      </c>
      <c r="M226" s="12">
        <f>MAX(PARAMETERS!K226*POWER(CHL,-PARAMETERS!L226),0.000000001)</f>
        <v>2.5652001386540497E-3</v>
      </c>
      <c r="Q226" s="31"/>
      <c r="R226" s="31"/>
    </row>
    <row r="227" spans="9:18" x14ac:dyDescent="0.25">
      <c r="I227">
        <v>836</v>
      </c>
      <c r="J227" s="3">
        <v>3.7516400000000001</v>
      </c>
      <c r="K227" s="3">
        <v>3.0000000000000001E-3</v>
      </c>
      <c r="L227" s="9">
        <v>-3.4000000000000002E-2</v>
      </c>
      <c r="M227" s="12">
        <f>MAX(PARAMETERS!K227*POWER(CHL,-PARAMETERS!L227),0.000000001)</f>
        <v>2.5652001386540497E-3</v>
      </c>
      <c r="Q227" s="31"/>
      <c r="R227" s="31"/>
    </row>
    <row r="228" spans="9:18" x14ac:dyDescent="0.25">
      <c r="I228">
        <v>838</v>
      </c>
      <c r="J228" s="3">
        <v>3.8505199999999999</v>
      </c>
      <c r="K228" s="3">
        <v>3.0000000000000001E-3</v>
      </c>
      <c r="L228" s="9">
        <v>-3.4000000000000002E-2</v>
      </c>
      <c r="M228" s="12">
        <f>MAX(PARAMETERS!K228*POWER(CHL,-PARAMETERS!L228),0.000000001)</f>
        <v>2.5652001386540497E-3</v>
      </c>
      <c r="Q228" s="31"/>
      <c r="R228" s="31"/>
    </row>
    <row r="229" spans="9:18" x14ac:dyDescent="0.25">
      <c r="I229">
        <v>840</v>
      </c>
      <c r="J229" s="3">
        <v>3.9493999999999998</v>
      </c>
      <c r="K229" s="3">
        <v>3.0000000000000001E-3</v>
      </c>
      <c r="L229" s="9">
        <v>-3.4000000000000002E-2</v>
      </c>
      <c r="M229" s="12">
        <f>MAX(PARAMETERS!K229*POWER(CHL,-PARAMETERS!L229),0.000000001)</f>
        <v>2.5652001386540497E-3</v>
      </c>
      <c r="Q229" s="31"/>
      <c r="R229" s="31"/>
    </row>
    <row r="230" spans="9:18" x14ac:dyDescent="0.25">
      <c r="I230">
        <v>842</v>
      </c>
      <c r="J230" s="3">
        <v>3.9995599999999998</v>
      </c>
      <c r="K230" s="3">
        <v>3.0000000000000001E-3</v>
      </c>
      <c r="L230" s="9">
        <v>-3.4000000000000002E-2</v>
      </c>
      <c r="M230" s="12">
        <f>MAX(PARAMETERS!K230*POWER(CHL,-PARAMETERS!L230),0.000000001)</f>
        <v>2.5652001386540497E-3</v>
      </c>
      <c r="Q230" s="31"/>
      <c r="R230" s="31"/>
    </row>
    <row r="231" spans="9:18" x14ac:dyDescent="0.25">
      <c r="I231">
        <v>844</v>
      </c>
      <c r="J231" s="3">
        <v>4.0497199999999998</v>
      </c>
      <c r="K231" s="3">
        <v>3.0000000000000001E-3</v>
      </c>
      <c r="L231" s="9">
        <v>-3.4000000000000002E-2</v>
      </c>
      <c r="M231" s="12">
        <f>MAX(PARAMETERS!K231*POWER(CHL,-PARAMETERS!L231),0.000000001)</f>
        <v>2.5652001386540497E-3</v>
      </c>
      <c r="Q231" s="31"/>
      <c r="R231" s="31"/>
    </row>
    <row r="232" spans="9:18" x14ac:dyDescent="0.25">
      <c r="I232">
        <v>846</v>
      </c>
      <c r="J232" s="3">
        <v>4.0995600000000003</v>
      </c>
      <c r="K232" s="3">
        <v>3.0000000000000001E-3</v>
      </c>
      <c r="L232" s="9">
        <v>-3.4000000000000002E-2</v>
      </c>
      <c r="M232" s="12">
        <f>MAX(PARAMETERS!K232*POWER(CHL,-PARAMETERS!L232),0.000000001)</f>
        <v>2.5652001386540497E-3</v>
      </c>
      <c r="Q232" s="31"/>
      <c r="R232" s="31"/>
    </row>
    <row r="233" spans="9:18" x14ac:dyDescent="0.25">
      <c r="I233">
        <v>848</v>
      </c>
      <c r="J233" s="3">
        <v>4.1490799999999997</v>
      </c>
      <c r="K233" s="3">
        <v>3.0000000000000001E-3</v>
      </c>
      <c r="L233" s="9">
        <v>-3.4000000000000002E-2</v>
      </c>
      <c r="M233" s="12">
        <f>MAX(PARAMETERS!K233*POWER(CHL,-PARAMETERS!L233),0.000000001)</f>
        <v>2.5652001386540497E-3</v>
      </c>
      <c r="Q233" s="31"/>
      <c r="R233" s="31"/>
    </row>
    <row r="234" spans="9:18" x14ac:dyDescent="0.25">
      <c r="I234">
        <v>850</v>
      </c>
      <c r="J234" s="3">
        <v>4.1985999999999999</v>
      </c>
      <c r="K234" s="3">
        <v>3.0000000000000001E-3</v>
      </c>
      <c r="L234" s="9">
        <v>-3.4000000000000002E-2</v>
      </c>
      <c r="M234" s="12">
        <f>MAX(PARAMETERS!K234*POWER(CHL,-PARAMETERS!L234),0.000000001)</f>
        <v>2.5652001386540497E-3</v>
      </c>
      <c r="Q234" s="31"/>
      <c r="R234" s="31"/>
    </row>
    <row r="235" spans="9:18" x14ac:dyDescent="0.25">
      <c r="I235">
        <v>852</v>
      </c>
      <c r="J235" s="3">
        <v>4.2417199999999999</v>
      </c>
      <c r="K235" s="3">
        <v>3.0000000000000001E-3</v>
      </c>
      <c r="L235" s="9">
        <v>-3.4000000000000002E-2</v>
      </c>
      <c r="M235" s="12">
        <f>MAX(PARAMETERS!K235*POWER(CHL,-PARAMETERS!L235),0.000000001)</f>
        <v>2.5652001386540497E-3</v>
      </c>
      <c r="Q235" s="31"/>
      <c r="R235" s="31"/>
    </row>
    <row r="236" spans="9:18" x14ac:dyDescent="0.25">
      <c r="I236">
        <v>854</v>
      </c>
      <c r="J236" s="3">
        <v>4.28484</v>
      </c>
      <c r="K236" s="3">
        <v>3.0000000000000001E-3</v>
      </c>
      <c r="L236" s="9">
        <v>-3.4000000000000002E-2</v>
      </c>
      <c r="M236" s="12">
        <f>MAX(PARAMETERS!K236*POWER(CHL,-PARAMETERS!L236),0.000000001)</f>
        <v>2.5652001386540497E-3</v>
      </c>
      <c r="Q236" s="31"/>
      <c r="R236" s="31"/>
    </row>
    <row r="237" spans="9:18" x14ac:dyDescent="0.25">
      <c r="I237">
        <v>856</v>
      </c>
      <c r="J237" s="3">
        <v>4.3316400000000002</v>
      </c>
      <c r="K237" s="3">
        <v>3.0000000000000001E-3</v>
      </c>
      <c r="L237" s="9">
        <v>-3.4000000000000002E-2</v>
      </c>
      <c r="M237" s="12">
        <f>MAX(PARAMETERS!K237*POWER(CHL,-PARAMETERS!L237),0.000000001)</f>
        <v>2.5652001386540497E-3</v>
      </c>
      <c r="Q237" s="31"/>
      <c r="R237" s="31"/>
    </row>
    <row r="238" spans="9:18" x14ac:dyDescent="0.25">
      <c r="I238">
        <v>858</v>
      </c>
      <c r="J238" s="3">
        <v>4.3821200000000005</v>
      </c>
      <c r="K238" s="3">
        <v>3.0000000000000001E-3</v>
      </c>
      <c r="L238" s="9">
        <v>-3.4000000000000002E-2</v>
      </c>
      <c r="M238" s="12">
        <f>MAX(PARAMETERS!K238*POWER(CHL,-PARAMETERS!L238),0.000000001)</f>
        <v>2.5652001386540497E-3</v>
      </c>
      <c r="Q238" s="31"/>
      <c r="R238" s="31"/>
    </row>
    <row r="239" spans="9:18" x14ac:dyDescent="0.25">
      <c r="I239">
        <v>860</v>
      </c>
      <c r="J239" s="3">
        <v>4.4325999999999999</v>
      </c>
      <c r="K239" s="3">
        <v>3.0000000000000001E-3</v>
      </c>
      <c r="L239" s="9">
        <v>-3.4000000000000002E-2</v>
      </c>
      <c r="M239" s="12">
        <f>MAX(PARAMETERS!K239*POWER(CHL,-PARAMETERS!L239),0.000000001)</f>
        <v>2.5652001386540497E-3</v>
      </c>
      <c r="Q239" s="31"/>
      <c r="R239" s="31"/>
    </row>
    <row r="240" spans="9:18" x14ac:dyDescent="0.25">
      <c r="I240">
        <v>862</v>
      </c>
      <c r="J240" s="3">
        <v>4.5016400000000001</v>
      </c>
      <c r="K240" s="3">
        <v>3.0000000000000001E-3</v>
      </c>
      <c r="L240" s="9">
        <v>-3.4000000000000002E-2</v>
      </c>
      <c r="M240" s="12">
        <f>MAX(PARAMETERS!K240*POWER(CHL,-PARAMETERS!L240),0.000000001)</f>
        <v>2.5652001386540497E-3</v>
      </c>
      <c r="Q240" s="31"/>
      <c r="R240" s="31"/>
    </row>
    <row r="241" spans="9:18" x14ac:dyDescent="0.25">
      <c r="I241">
        <v>864</v>
      </c>
      <c r="J241" s="3">
        <v>4.5706800000000003</v>
      </c>
      <c r="K241" s="3">
        <v>3.0000000000000001E-3</v>
      </c>
      <c r="L241" s="9">
        <v>-3.4000000000000002E-2</v>
      </c>
      <c r="M241" s="12">
        <f>MAX(PARAMETERS!K241*POWER(CHL,-PARAMETERS!L241),0.000000001)</f>
        <v>2.5652001386540497E-3</v>
      </c>
      <c r="Q241" s="31"/>
      <c r="R241" s="31"/>
    </row>
    <row r="242" spans="9:18" x14ac:dyDescent="0.25">
      <c r="I242">
        <v>866</v>
      </c>
      <c r="J242" s="3">
        <v>4.6345800000000006</v>
      </c>
      <c r="K242" s="3">
        <v>3.0000000000000001E-3</v>
      </c>
      <c r="L242" s="9">
        <v>-3.4000000000000002E-2</v>
      </c>
      <c r="M242" s="12">
        <f>MAX(PARAMETERS!K242*POWER(CHL,-PARAMETERS!L242),0.000000001)</f>
        <v>2.5652001386540497E-3</v>
      </c>
      <c r="Q242" s="31"/>
      <c r="R242" s="31"/>
    </row>
    <row r="243" spans="9:18" x14ac:dyDescent="0.25">
      <c r="I243">
        <v>868</v>
      </c>
      <c r="J243" s="3">
        <v>4.693340000000001</v>
      </c>
      <c r="K243" s="3">
        <v>3.0000000000000001E-3</v>
      </c>
      <c r="L243" s="9">
        <v>-3.4000000000000002E-2</v>
      </c>
      <c r="M243" s="12">
        <f>MAX(PARAMETERS!K243*POWER(CHL,-PARAMETERS!L243),0.000000001)</f>
        <v>2.5652001386540497E-3</v>
      </c>
      <c r="Q243" s="31"/>
      <c r="R243" s="31"/>
    </row>
    <row r="244" spans="9:18" x14ac:dyDescent="0.25">
      <c r="I244">
        <v>870</v>
      </c>
      <c r="J244" s="3">
        <v>4.7521000000000004</v>
      </c>
      <c r="K244" s="3">
        <v>3.0000000000000001E-3</v>
      </c>
      <c r="L244" s="9">
        <v>-3.4000000000000002E-2</v>
      </c>
      <c r="M244" s="12">
        <f>MAX(PARAMETERS!K244*POWER(CHL,-PARAMETERS!L244),0.000000001)</f>
        <v>2.5652001386540497E-3</v>
      </c>
      <c r="Q244" s="31"/>
      <c r="R244" s="31"/>
    </row>
    <row r="245" spans="9:18" x14ac:dyDescent="0.25">
      <c r="I245">
        <v>872</v>
      </c>
      <c r="J245" s="3">
        <v>4.8354200000000009</v>
      </c>
      <c r="K245" s="3">
        <v>3.0000000000000001E-3</v>
      </c>
      <c r="L245" s="9">
        <v>-3.4000000000000002E-2</v>
      </c>
      <c r="M245" s="12">
        <f>MAX(PARAMETERS!K245*POWER(CHL,-PARAMETERS!L245),0.000000001)</f>
        <v>2.5652001386540497E-3</v>
      </c>
      <c r="Q245" s="31"/>
      <c r="R245" s="31"/>
    </row>
    <row r="246" spans="9:18" x14ac:dyDescent="0.25">
      <c r="I246">
        <v>874</v>
      </c>
      <c r="J246" s="3">
        <v>4.9187399999999997</v>
      </c>
      <c r="K246" s="3">
        <v>3.0000000000000001E-3</v>
      </c>
      <c r="L246" s="9">
        <v>-3.4000000000000002E-2</v>
      </c>
      <c r="M246" s="12">
        <f>MAX(PARAMETERS!K246*POWER(CHL,-PARAMETERS!L246),0.000000001)</f>
        <v>2.5652001386540497E-3</v>
      </c>
      <c r="Q246" s="31"/>
      <c r="R246" s="31"/>
    </row>
    <row r="247" spans="9:18" x14ac:dyDescent="0.25">
      <c r="I247">
        <v>876</v>
      </c>
      <c r="J247" s="3">
        <v>5.0279000000000007</v>
      </c>
      <c r="K247" s="3">
        <v>3.0000000000000001E-3</v>
      </c>
      <c r="L247" s="9">
        <v>-3.4000000000000002E-2</v>
      </c>
      <c r="M247" s="12">
        <f>MAX(PARAMETERS!K247*POWER(CHL,-PARAMETERS!L247),0.000000001)</f>
        <v>2.5652001386540497E-3</v>
      </c>
      <c r="Q247" s="31"/>
      <c r="R247" s="31"/>
    </row>
    <row r="248" spans="9:18" x14ac:dyDescent="0.25">
      <c r="I248">
        <v>878</v>
      </c>
      <c r="J248" s="3">
        <v>5.1629000000000005</v>
      </c>
      <c r="K248" s="3">
        <v>3.0000000000000001E-3</v>
      </c>
      <c r="L248" s="9">
        <v>-3.4000000000000002E-2</v>
      </c>
      <c r="M248" s="12">
        <f>MAX(PARAMETERS!K248*POWER(CHL,-PARAMETERS!L248),0.000000001)</f>
        <v>2.5652001386540497E-3</v>
      </c>
      <c r="Q248" s="31"/>
      <c r="R248" s="31"/>
    </row>
    <row r="249" spans="9:18" x14ac:dyDescent="0.25">
      <c r="I249">
        <v>880</v>
      </c>
      <c r="J249" s="3">
        <v>5.2979000000000003</v>
      </c>
      <c r="K249" s="3">
        <v>3.0000000000000001E-3</v>
      </c>
      <c r="L249" s="9">
        <v>-3.4000000000000002E-2</v>
      </c>
      <c r="M249" s="12">
        <f>MAX(PARAMETERS!K249*POWER(CHL,-PARAMETERS!L249),0.000000001)</f>
        <v>2.5652001386540497E-3</v>
      </c>
      <c r="Q249" s="31"/>
      <c r="R249" s="31"/>
    </row>
    <row r="250" spans="9:18" x14ac:dyDescent="0.25">
      <c r="I250">
        <v>882</v>
      </c>
      <c r="J250" s="3">
        <v>5.4051799999999997</v>
      </c>
      <c r="K250" s="3">
        <v>3.0000000000000001E-3</v>
      </c>
      <c r="L250" s="9">
        <v>-3.4000000000000002E-2</v>
      </c>
      <c r="M250" s="12">
        <f>MAX(PARAMETERS!K250*POWER(CHL,-PARAMETERS!L250),0.000000001)</f>
        <v>2.5652001386540497E-3</v>
      </c>
      <c r="Q250" s="31"/>
      <c r="R250" s="31"/>
    </row>
    <row r="251" spans="9:18" x14ac:dyDescent="0.25">
      <c r="I251">
        <v>884</v>
      </c>
      <c r="J251" s="3">
        <v>5.512459999999999</v>
      </c>
      <c r="K251" s="3">
        <v>3.0000000000000001E-3</v>
      </c>
      <c r="L251" s="9">
        <v>-3.4000000000000002E-2</v>
      </c>
      <c r="M251" s="12">
        <f>MAX(PARAMETERS!K251*POWER(CHL,-PARAMETERS!L251),0.000000001)</f>
        <v>2.5652001386540497E-3</v>
      </c>
      <c r="Q251" s="31"/>
      <c r="R251" s="31"/>
    </row>
    <row r="252" spans="9:18" x14ac:dyDescent="0.25">
      <c r="I252">
        <v>886</v>
      </c>
      <c r="J252" s="3">
        <v>5.6191599999999999</v>
      </c>
      <c r="K252" s="3">
        <v>3.0000000000000001E-3</v>
      </c>
      <c r="L252" s="9">
        <v>-3.4000000000000002E-2</v>
      </c>
      <c r="M252" s="12">
        <f>MAX(PARAMETERS!K252*POWER(CHL,-PARAMETERS!L252),0.000000001)</f>
        <v>2.5652001386540497E-3</v>
      </c>
      <c r="Q252" s="31"/>
      <c r="R252" s="31"/>
    </row>
    <row r="253" spans="9:18" x14ac:dyDescent="0.25">
      <c r="I253">
        <v>888</v>
      </c>
      <c r="J253" s="3">
        <v>5.7252799999999997</v>
      </c>
      <c r="K253" s="3">
        <v>3.0000000000000001E-3</v>
      </c>
      <c r="L253" s="9">
        <v>-3.4000000000000002E-2</v>
      </c>
      <c r="M253" s="12">
        <f>MAX(PARAMETERS!K253*POWER(CHL,-PARAMETERS!L253),0.000000001)</f>
        <v>2.5652001386540497E-3</v>
      </c>
      <c r="Q253" s="31"/>
      <c r="R253" s="31"/>
    </row>
    <row r="254" spans="9:18" x14ac:dyDescent="0.25">
      <c r="I254">
        <v>890</v>
      </c>
      <c r="J254" s="3">
        <v>5.8314000000000004</v>
      </c>
      <c r="K254" s="3">
        <v>3.0000000000000001E-3</v>
      </c>
      <c r="L254" s="9">
        <v>-3.4000000000000002E-2</v>
      </c>
      <c r="M254" s="12">
        <f>MAX(PARAMETERS!K254*POWER(CHL,-PARAMETERS!L254),0.000000001)</f>
        <v>2.5652001386540497E-3</v>
      </c>
      <c r="Q254" s="31"/>
      <c r="R254" s="31"/>
    </row>
    <row r="255" spans="9:18" x14ac:dyDescent="0.25">
      <c r="I255">
        <v>892</v>
      </c>
      <c r="J255" s="3">
        <v>5.93628</v>
      </c>
      <c r="K255" s="3">
        <v>3.0000000000000001E-3</v>
      </c>
      <c r="L255" s="9">
        <v>-3.4000000000000002E-2</v>
      </c>
      <c r="M255" s="12">
        <f>MAX(PARAMETERS!K255*POWER(CHL,-PARAMETERS!L255),0.000000001)</f>
        <v>2.5652001386540497E-3</v>
      </c>
      <c r="Q255" s="31"/>
      <c r="R255" s="31"/>
    </row>
    <row r="256" spans="9:18" x14ac:dyDescent="0.25">
      <c r="I256">
        <v>894</v>
      </c>
      <c r="J256" s="3">
        <v>6.0411600000000005</v>
      </c>
      <c r="K256" s="3">
        <v>3.0000000000000001E-3</v>
      </c>
      <c r="L256" s="9">
        <v>-3.4000000000000002E-2</v>
      </c>
      <c r="M256" s="12">
        <f>MAX(PARAMETERS!K256*POWER(CHL,-PARAMETERS!L256),0.000000001)</f>
        <v>2.5652001386540497E-3</v>
      </c>
      <c r="Q256" s="31"/>
      <c r="R256" s="31"/>
    </row>
    <row r="257" spans="9:18" x14ac:dyDescent="0.25">
      <c r="I257">
        <v>896</v>
      </c>
      <c r="J257" s="3">
        <v>6.1469000000000014</v>
      </c>
      <c r="K257" s="3">
        <v>3.0000000000000001E-3</v>
      </c>
      <c r="L257" s="9">
        <v>-3.4000000000000002E-2</v>
      </c>
      <c r="M257" s="12">
        <f>MAX(PARAMETERS!K257*POWER(CHL,-PARAMETERS!L257),0.000000001)</f>
        <v>2.5652001386540497E-3</v>
      </c>
      <c r="Q257" s="31"/>
      <c r="R257" s="31"/>
    </row>
    <row r="258" spans="9:18" x14ac:dyDescent="0.25">
      <c r="I258">
        <v>898</v>
      </c>
      <c r="J258" s="3">
        <v>6.2535000000000007</v>
      </c>
      <c r="K258" s="3">
        <v>3.0000000000000001E-3</v>
      </c>
      <c r="L258" s="9">
        <v>-3.4000000000000002E-2</v>
      </c>
      <c r="M258" s="12">
        <f>MAX(PARAMETERS!K258*POWER(CHL,-PARAMETERS!L258),0.000000001)</f>
        <v>2.5652001386540497E-3</v>
      </c>
      <c r="Q258" s="31"/>
      <c r="R258" s="31"/>
    </row>
    <row r="259" spans="9:18" x14ac:dyDescent="0.25">
      <c r="I259">
        <v>900</v>
      </c>
      <c r="J259" s="3">
        <v>6.3601000000000001</v>
      </c>
      <c r="K259" s="3">
        <v>3.0000000000000001E-3</v>
      </c>
      <c r="L259" s="9">
        <v>-3.4000000000000002E-2</v>
      </c>
      <c r="M259" s="12">
        <f>MAX(PARAMETERS!K259*POWER(CHL,-PARAMETERS!L259),0.000000001)</f>
        <v>2.5652001386540497E-3</v>
      </c>
      <c r="Q259" s="31"/>
      <c r="R259" s="31"/>
    </row>
    <row r="260" spans="9:18" x14ac:dyDescent="0.25">
      <c r="J260" s="3"/>
      <c r="Q260" s="31"/>
      <c r="R260" s="31"/>
    </row>
    <row r="261" spans="9:18" x14ac:dyDescent="0.25">
      <c r="J261" s="3"/>
      <c r="Q261" s="31"/>
      <c r="R261" s="31"/>
    </row>
    <row r="262" spans="9:18" x14ac:dyDescent="0.25">
      <c r="J262" s="3"/>
      <c r="Q262" s="31"/>
      <c r="R262" s="31"/>
    </row>
    <row r="263" spans="9:18" x14ac:dyDescent="0.25">
      <c r="J263" s="3"/>
      <c r="Q263" s="31"/>
      <c r="R263" s="31"/>
    </row>
    <row r="264" spans="9:18" x14ac:dyDescent="0.25">
      <c r="J264" s="3"/>
      <c r="Q264" s="31"/>
      <c r="R264" s="31"/>
    </row>
    <row r="265" spans="9:18" x14ac:dyDescent="0.25">
      <c r="J265" s="3"/>
      <c r="Q265" s="31"/>
      <c r="R265" s="31"/>
    </row>
    <row r="266" spans="9:18" x14ac:dyDescent="0.25">
      <c r="J266" s="3"/>
      <c r="Q266" s="31"/>
      <c r="R266" s="31"/>
    </row>
    <row r="267" spans="9:18" x14ac:dyDescent="0.25">
      <c r="J267" s="3"/>
      <c r="Q267" s="31"/>
      <c r="R267" s="31"/>
    </row>
    <row r="268" spans="9:18" x14ac:dyDescent="0.25">
      <c r="J268" s="3"/>
      <c r="Q268" s="31"/>
      <c r="R268" s="31"/>
    </row>
    <row r="269" spans="9:18" x14ac:dyDescent="0.25">
      <c r="J269" s="3"/>
      <c r="Q269" s="31"/>
      <c r="R269" s="31"/>
    </row>
    <row r="270" spans="9:18" x14ac:dyDescent="0.25">
      <c r="J270" s="3"/>
      <c r="Q270" s="31"/>
      <c r="R270" s="31"/>
    </row>
    <row r="271" spans="9:18" x14ac:dyDescent="0.25">
      <c r="J271" s="3"/>
      <c r="Q271" s="31"/>
      <c r="R271" s="31"/>
    </row>
    <row r="272" spans="9:18" x14ac:dyDescent="0.25">
      <c r="J272" s="3"/>
      <c r="Q272" s="31"/>
      <c r="R272" s="31"/>
    </row>
    <row r="273" spans="10:18" x14ac:dyDescent="0.25">
      <c r="J273" s="3"/>
      <c r="Q273" s="31"/>
      <c r="R273" s="31"/>
    </row>
    <row r="274" spans="10:18" x14ac:dyDescent="0.25">
      <c r="J274" s="3"/>
      <c r="Q274" s="31"/>
      <c r="R274" s="31"/>
    </row>
    <row r="275" spans="10:18" x14ac:dyDescent="0.25">
      <c r="J275" s="3"/>
      <c r="Q275" s="31"/>
      <c r="R275" s="31"/>
    </row>
    <row r="276" spans="10:18" x14ac:dyDescent="0.25">
      <c r="J276" s="3"/>
      <c r="Q276" s="31"/>
      <c r="R276" s="31"/>
    </row>
    <row r="277" spans="10:18" x14ac:dyDescent="0.25">
      <c r="J277" s="3"/>
      <c r="Q277" s="31"/>
      <c r="R277" s="31"/>
    </row>
    <row r="278" spans="10:18" x14ac:dyDescent="0.25">
      <c r="J278" s="3"/>
    </row>
    <row r="279" spans="10:18" x14ac:dyDescent="0.25">
      <c r="J279" s="3"/>
    </row>
    <row r="280" spans="10:18" x14ac:dyDescent="0.25">
      <c r="J280" s="3"/>
    </row>
    <row r="281" spans="10:18" x14ac:dyDescent="0.25">
      <c r="J281" s="3"/>
    </row>
    <row r="282" spans="10:18" x14ac:dyDescent="0.25">
      <c r="J282" s="3"/>
    </row>
    <row r="283" spans="10:18" x14ac:dyDescent="0.25">
      <c r="J283" s="3"/>
    </row>
    <row r="284" spans="10:18" x14ac:dyDescent="0.25">
      <c r="J284" s="3"/>
    </row>
    <row r="285" spans="10:18" x14ac:dyDescent="0.25">
      <c r="J285" s="3"/>
    </row>
    <row r="286" spans="10:18" x14ac:dyDescent="0.25">
      <c r="J286" s="3"/>
    </row>
    <row r="287" spans="10:18" x14ac:dyDescent="0.25">
      <c r="J287" s="3"/>
    </row>
    <row r="288" spans="10:18" x14ac:dyDescent="0.25">
      <c r="J288" s="3"/>
    </row>
    <row r="289" spans="10:10" x14ac:dyDescent="0.25">
      <c r="J289" s="3"/>
    </row>
    <row r="290" spans="10:10" x14ac:dyDescent="0.25">
      <c r="J290" s="3"/>
    </row>
    <row r="291" spans="10:10" x14ac:dyDescent="0.25">
      <c r="J291" s="3"/>
    </row>
    <row r="292" spans="10:10" x14ac:dyDescent="0.25">
      <c r="J292" s="3"/>
    </row>
    <row r="293" spans="10:10" x14ac:dyDescent="0.25">
      <c r="J293" s="3"/>
    </row>
    <row r="294" spans="10:10" x14ac:dyDescent="0.25">
      <c r="J294" s="3"/>
    </row>
    <row r="295" spans="10:10" x14ac:dyDescent="0.25">
      <c r="J295" s="3"/>
    </row>
    <row r="296" spans="10:10" x14ac:dyDescent="0.25">
      <c r="J296" s="3"/>
    </row>
    <row r="297" spans="10:10" x14ac:dyDescent="0.25">
      <c r="J297" s="3"/>
    </row>
    <row r="298" spans="10:10" x14ac:dyDescent="0.25">
      <c r="J298" s="3"/>
    </row>
    <row r="299" spans="10:10" x14ac:dyDescent="0.25">
      <c r="J299" s="3"/>
    </row>
    <row r="300" spans="10:10" x14ac:dyDescent="0.25">
      <c r="J300" s="3"/>
    </row>
    <row r="301" spans="10:10" x14ac:dyDescent="0.25">
      <c r="J301" s="3"/>
    </row>
    <row r="302" spans="10:10" x14ac:dyDescent="0.25">
      <c r="J302" s="3"/>
    </row>
    <row r="303" spans="10:10" x14ac:dyDescent="0.25">
      <c r="J303" s="3"/>
    </row>
    <row r="304" spans="10:10" x14ac:dyDescent="0.25">
      <c r="J304" s="3"/>
    </row>
    <row r="305" spans="10:10" x14ac:dyDescent="0.25">
      <c r="J305" s="3"/>
    </row>
    <row r="306" spans="10:10" x14ac:dyDescent="0.25">
      <c r="J306" s="3"/>
    </row>
    <row r="307" spans="10:10" x14ac:dyDescent="0.25">
      <c r="J307" s="3"/>
    </row>
    <row r="308" spans="10:10" x14ac:dyDescent="0.25">
      <c r="J308" s="3"/>
    </row>
    <row r="309" spans="10:10" x14ac:dyDescent="0.25">
      <c r="J309" s="3"/>
    </row>
    <row r="310" spans="10:10" x14ac:dyDescent="0.25">
      <c r="J310" s="3"/>
    </row>
    <row r="311" spans="10:10" x14ac:dyDescent="0.25">
      <c r="J311" s="3"/>
    </row>
    <row r="312" spans="10:10" x14ac:dyDescent="0.25">
      <c r="J312" s="3"/>
    </row>
    <row r="313" spans="10:10" x14ac:dyDescent="0.25">
      <c r="J313" s="3"/>
    </row>
    <row r="314" spans="10:10" x14ac:dyDescent="0.25">
      <c r="J314" s="3"/>
    </row>
    <row r="315" spans="10:10" x14ac:dyDescent="0.25">
      <c r="J315" s="3"/>
    </row>
    <row r="316" spans="10:10" x14ac:dyDescent="0.25">
      <c r="J316" s="3"/>
    </row>
    <row r="317" spans="10:10" x14ac:dyDescent="0.25">
      <c r="J317" s="3"/>
    </row>
    <row r="318" spans="10:10" x14ac:dyDescent="0.25">
      <c r="J318" s="3"/>
    </row>
    <row r="319" spans="10:10" x14ac:dyDescent="0.25">
      <c r="J319" s="3"/>
    </row>
    <row r="320" spans="10:10" x14ac:dyDescent="0.25">
      <c r="J320" s="3"/>
    </row>
    <row r="321" spans="10:10" x14ac:dyDescent="0.25">
      <c r="J321" s="3"/>
    </row>
    <row r="322" spans="10:10" x14ac:dyDescent="0.25">
      <c r="J322" s="3"/>
    </row>
    <row r="323" spans="10:10" x14ac:dyDescent="0.25">
      <c r="J323" s="3"/>
    </row>
    <row r="324" spans="10:10" x14ac:dyDescent="0.25">
      <c r="J324" s="3"/>
    </row>
    <row r="325" spans="10:10" x14ac:dyDescent="0.25">
      <c r="J325" s="3"/>
    </row>
    <row r="326" spans="10:10" x14ac:dyDescent="0.25">
      <c r="J326" s="3"/>
    </row>
    <row r="327" spans="10:10" x14ac:dyDescent="0.25">
      <c r="J327" s="3"/>
    </row>
    <row r="328" spans="10:10" x14ac:dyDescent="0.25">
      <c r="J328" s="3"/>
    </row>
    <row r="329" spans="10:10" x14ac:dyDescent="0.25">
      <c r="J329" s="3"/>
    </row>
    <row r="330" spans="10:10" x14ac:dyDescent="0.25">
      <c r="J330" s="3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74"/>
  <sheetViews>
    <sheetView topLeftCell="A8" workbookViewId="0">
      <selection activeCell="L8" sqref="L8:L208"/>
    </sheetView>
  </sheetViews>
  <sheetFormatPr defaultRowHeight="13.2" x14ac:dyDescent="0.25"/>
  <cols>
    <col min="1" max="1" width="16" style="1" customWidth="1"/>
    <col min="2" max="5" width="13.109375" customWidth="1"/>
    <col min="6" max="6" width="13.109375" style="1" customWidth="1"/>
    <col min="7" max="9" width="13.109375" customWidth="1"/>
    <col min="10" max="11" width="13.109375" style="1" customWidth="1"/>
    <col min="12" max="13" width="13.109375" customWidth="1"/>
  </cols>
  <sheetData>
    <row r="1" spans="1:23" x14ac:dyDescent="0.25">
      <c r="A1" s="1" t="str">
        <f>README!A1:B3</f>
        <v>ECOMAMA-MORS simple ocean colour model</v>
      </c>
      <c r="B1" s="1"/>
    </row>
    <row r="2" spans="1:23" x14ac:dyDescent="0.25">
      <c r="A2" s="1" t="str">
        <f>README!A2:B7</f>
        <v>Version</v>
      </c>
      <c r="B2" s="1">
        <f>README!B2:C7</f>
        <v>3.1</v>
      </c>
    </row>
    <row r="3" spans="1:23" x14ac:dyDescent="0.25">
      <c r="A3" s="1" t="str">
        <f>README!A3:B8</f>
        <v>Date</v>
      </c>
      <c r="B3" s="1" t="str">
        <f>README!B3:C8</f>
        <v>10th July 2012</v>
      </c>
      <c r="G3" s="4" t="s">
        <v>65</v>
      </c>
      <c r="H3" s="1">
        <f>IF(CHL&lt;2,0.5*(LOG10(CHL)-0.3),0)</f>
        <v>-1.1499999999999999</v>
      </c>
      <c r="I3" t="s">
        <v>70</v>
      </c>
    </row>
    <row r="5" spans="1:23" x14ac:dyDescent="0.25">
      <c r="A5" s="1" t="s">
        <v>34</v>
      </c>
    </row>
    <row r="6" spans="1:23" x14ac:dyDescent="0.25">
      <c r="F6" s="4" t="s">
        <v>39</v>
      </c>
      <c r="J6" s="4" t="s">
        <v>43</v>
      </c>
      <c r="K6" s="1" t="s">
        <v>45</v>
      </c>
      <c r="L6" s="1" t="s">
        <v>66</v>
      </c>
      <c r="O6" s="1"/>
      <c r="P6" s="1"/>
      <c r="Q6" s="1"/>
      <c r="R6" s="1"/>
      <c r="S6" s="1"/>
      <c r="T6" s="1"/>
      <c r="W6" s="1"/>
    </row>
    <row r="7" spans="1:23" x14ac:dyDescent="0.25">
      <c r="A7" s="26" t="s">
        <v>0</v>
      </c>
      <c r="B7" t="s">
        <v>33</v>
      </c>
      <c r="C7" t="s">
        <v>35</v>
      </c>
      <c r="D7" t="s">
        <v>36</v>
      </c>
      <c r="E7" t="s">
        <v>37</v>
      </c>
      <c r="F7" s="1" t="s">
        <v>38</v>
      </c>
      <c r="G7" t="s">
        <v>40</v>
      </c>
      <c r="H7" t="s">
        <v>41</v>
      </c>
      <c r="I7" t="s">
        <v>42</v>
      </c>
      <c r="J7" s="1" t="s">
        <v>44</v>
      </c>
      <c r="K7" s="1" t="s">
        <v>46</v>
      </c>
      <c r="L7" s="1" t="s">
        <v>67</v>
      </c>
    </row>
    <row r="8" spans="1:23" x14ac:dyDescent="0.25">
      <c r="A8" s="1">
        <f>PARAMETERS!I9</f>
        <v>400</v>
      </c>
      <c r="B8" s="3">
        <f>PARAMETERS!J9</f>
        <v>5.7999999999999996E-3</v>
      </c>
      <c r="C8" s="3">
        <f>CHL*PARAMETERS!M9</f>
        <v>9.6373082132380117E-4</v>
      </c>
      <c r="D8" s="3">
        <f>NAP*PARAMETERS!$B$21*EXP(-PARAMETERS!$B$22*(A8-443))</f>
        <v>6.9579644932809984E-4</v>
      </c>
      <c r="E8" s="3">
        <f>CDOM*EXP(-PARAMETERS!$B$23*(CALCULATIONS!A8-443))</f>
        <v>2.1314446728969748E-3</v>
      </c>
      <c r="F8" s="10">
        <f>SUM(B8:E8)</f>
        <v>9.5909719435488747E-3</v>
      </c>
      <c r="G8" s="3">
        <f>PARAMETERS!$B$16*PARAMETERS!$B$17*POWER(A8/500,PARAMETERS!$B$18)</f>
        <v>3.7758414376934651E-3</v>
      </c>
      <c r="H8" s="3">
        <f t="shared" ref="H8:H71" si="0">(0.002+0.01*MAX(0,(0.5-0.25*LOG10(CHL)))*POWER(A8/550,$H$3))*0.416*POWER(CHL,0.766)</f>
        <v>2.006962400793655E-4</v>
      </c>
      <c r="I8" s="3">
        <f>PARAMETERS!$B$24*NAP*POWER(A8/555,PARAMETERS!$B$25)</f>
        <v>1.0200000000000001E-4</v>
      </c>
      <c r="J8" s="10">
        <f>SUM(G8:I8)</f>
        <v>4.0785376777728302E-3</v>
      </c>
      <c r="K8" s="11">
        <f>PARAMETERS!$B$13*CALCULATIONS!J8/(CALCULATIONS!F8+CALCULATIONS!J8)</f>
        <v>6.4583360373668797E-2</v>
      </c>
      <c r="L8" s="11">
        <f>K8/PI()</f>
        <v>2.0557522089909252E-2</v>
      </c>
      <c r="O8" s="3"/>
      <c r="P8" s="3"/>
      <c r="Q8" s="3"/>
      <c r="R8" s="3"/>
      <c r="S8" s="3"/>
      <c r="T8" s="3"/>
    </row>
    <row r="9" spans="1:23" x14ac:dyDescent="0.25">
      <c r="A9" s="1">
        <f>PARAMETERS!I10</f>
        <v>402</v>
      </c>
      <c r="B9" s="3">
        <f>PARAMETERS!J10</f>
        <v>5.8999999999999999E-3</v>
      </c>
      <c r="C9" s="3">
        <f>CHL*PARAMETERS!M10</f>
        <v>9.8848319616839713E-4</v>
      </c>
      <c r="D9" s="3">
        <f>NAP*PARAMETERS!$B$21*EXP(-PARAMETERS!$B$22*(A9-443))</f>
        <v>6.7888867494994196E-4</v>
      </c>
      <c r="E9" s="3">
        <f>CDOM*EXP(-PARAMETERS!$B$23*(CALCULATIONS!A9-443))</f>
        <v>2.057722934858482E-3</v>
      </c>
      <c r="F9" s="10">
        <f t="shared" ref="F9:F72" si="1">SUM(B9:E9)</f>
        <v>9.6250948059768207E-3</v>
      </c>
      <c r="G9" s="3">
        <f>PARAMETERS!$B$16*PARAMETERS!$B$17*POWER(A9/500,PARAMETERS!$B$18)</f>
        <v>3.6953566642934622E-3</v>
      </c>
      <c r="H9" s="3">
        <f t="shared" si="0"/>
        <v>1.9968819278804332E-4</v>
      </c>
      <c r="I9" s="3">
        <f>PARAMETERS!$B$24*NAP*POWER(A9/555,PARAMETERS!$B$25)</f>
        <v>1.0200000000000001E-4</v>
      </c>
      <c r="J9" s="10">
        <f t="shared" ref="J9:J72" si="2">SUM(G9:I9)</f>
        <v>3.9970448570815055E-3</v>
      </c>
      <c r="K9" s="11">
        <f>PARAMETERS!$B$13*CALCULATIONS!J9/(CALCULATIONS!F9+CALCULATIONS!J9)</f>
        <v>6.3513023585173065E-2</v>
      </c>
      <c r="L9" s="11">
        <f t="shared" ref="L9:L72" si="3">K9/PI()</f>
        <v>2.021682330858485E-2</v>
      </c>
      <c r="O9" s="3"/>
      <c r="P9" s="3"/>
      <c r="Q9" s="3"/>
      <c r="R9" s="3"/>
      <c r="S9" s="3"/>
      <c r="T9" s="3"/>
    </row>
    <row r="10" spans="1:23" x14ac:dyDescent="0.25">
      <c r="A10" s="1">
        <f>PARAMETERS!I11</f>
        <v>404</v>
      </c>
      <c r="B10" s="3">
        <f>PARAMETERS!J11</f>
        <v>6.0999999999999995E-3</v>
      </c>
      <c r="C10" s="3">
        <f>CHL*PARAMETERS!M11</f>
        <v>1.0260252090139328E-3</v>
      </c>
      <c r="D10" s="3">
        <f>NAP*PARAMETERS!$B$21*EXP(-PARAMETERS!$B$22*(A10-443))</f>
        <v>6.6239175756120791E-4</v>
      </c>
      <c r="E10" s="3">
        <f>CDOM*EXP(-PARAMETERS!$B$23*(CALCULATIONS!A10-443))</f>
        <v>1.9865510611108733E-3</v>
      </c>
      <c r="F10" s="10">
        <f t="shared" si="1"/>
        <v>9.7749680276860134E-3</v>
      </c>
      <c r="G10" s="3">
        <f>PARAMETERS!$B$16*PARAMETERS!$B$17*POWER(A10/500,PARAMETERS!$B$18)</f>
        <v>3.6169742217677585E-3</v>
      </c>
      <c r="H10" s="3">
        <f t="shared" si="0"/>
        <v>1.9869087072040207E-4</v>
      </c>
      <c r="I10" s="3">
        <f>PARAMETERS!$B$24*NAP*POWER(A10/555,PARAMETERS!$B$25)</f>
        <v>1.0200000000000001E-4</v>
      </c>
      <c r="J10" s="10">
        <f t="shared" si="2"/>
        <v>3.9176650924881602E-3</v>
      </c>
      <c r="K10" s="11">
        <f>PARAMETERS!$B$13*CALCULATIONS!J10/(CALCULATIONS!F10+CALCULATIONS!J10)</f>
        <v>6.1931190667370149E-2</v>
      </c>
      <c r="L10" s="11">
        <f t="shared" si="3"/>
        <v>1.9713310252557233E-2</v>
      </c>
      <c r="O10" s="3"/>
      <c r="P10" s="3"/>
      <c r="Q10" s="3"/>
      <c r="R10" s="3"/>
      <c r="S10" s="3"/>
      <c r="T10" s="3"/>
    </row>
    <row r="11" spans="1:23" x14ac:dyDescent="0.25">
      <c r="A11" s="1">
        <f>PARAMETERS!I12</f>
        <v>406</v>
      </c>
      <c r="B11" s="3">
        <f>PARAMETERS!J12</f>
        <v>6.3E-3</v>
      </c>
      <c r="C11" s="3">
        <f>CHL*PARAMETERS!M12</f>
        <v>1.0577864460842629E-3</v>
      </c>
      <c r="D11" s="3">
        <f>NAP*PARAMETERS!$B$21*EXP(-PARAMETERS!$B$22*(A11-443))</f>
        <v>6.46295713383904E-4</v>
      </c>
      <c r="E11" s="3">
        <f>CDOM*EXP(-PARAMETERS!$B$23*(CALCULATIONS!A11-443))</f>
        <v>1.9178408577499508E-3</v>
      </c>
      <c r="F11" s="10">
        <f t="shared" si="1"/>
        <v>9.9219230172181185E-3</v>
      </c>
      <c r="G11" s="3">
        <f>PARAMETERS!$B$16*PARAMETERS!$B$17*POWER(A11/500,PARAMETERS!$B$18)</f>
        <v>3.5406291923080445E-3</v>
      </c>
      <c r="H11" s="3">
        <f t="shared" si="0"/>
        <v>1.977041075122325E-4</v>
      </c>
      <c r="I11" s="3">
        <f>PARAMETERS!$B$24*NAP*POWER(A11/555,PARAMETERS!$B$25)</f>
        <v>1.0200000000000001E-4</v>
      </c>
      <c r="J11" s="10">
        <f t="shared" si="2"/>
        <v>3.8403332998202771E-3</v>
      </c>
      <c r="K11" s="11">
        <f>PARAMETERS!$B$13*CALCULATIONS!J11/(CALCULATIONS!F11+CALCULATIONS!J11)</f>
        <v>6.0401589930003795E-2</v>
      </c>
      <c r="L11" s="11">
        <f t="shared" si="3"/>
        <v>1.9226423215939505E-2</v>
      </c>
      <c r="O11" s="3"/>
      <c r="P11" s="3"/>
      <c r="Q11" s="3"/>
      <c r="R11" s="3"/>
      <c r="S11" s="3"/>
      <c r="T11" s="3"/>
    </row>
    <row r="12" spans="1:23" x14ac:dyDescent="0.25">
      <c r="A12" s="1">
        <f>PARAMETERS!I13</f>
        <v>408</v>
      </c>
      <c r="B12" s="3">
        <f>PARAMETERS!J13</f>
        <v>6.4999999999999997E-3</v>
      </c>
      <c r="C12" s="3">
        <f>CHL*PARAMETERS!M13</f>
        <v>1.1029770996899776E-3</v>
      </c>
      <c r="D12" s="3">
        <f>NAP*PARAMETERS!$B$21*EXP(-PARAMETERS!$B$22*(A12-443))</f>
        <v>6.3059080124470328E-4</v>
      </c>
      <c r="E12" s="3">
        <f>CDOM*EXP(-PARAMETERS!$B$23*(CALCULATIONS!A12-443))</f>
        <v>1.8515071812945383E-3</v>
      </c>
      <c r="F12" s="10">
        <f t="shared" si="1"/>
        <v>1.0085075082229219E-2</v>
      </c>
      <c r="G12" s="3">
        <f>PARAMETERS!$B$16*PARAMETERS!$B$17*POWER(A12/500,PARAMETERS!$B$18)</f>
        <v>3.4662589685797419E-3</v>
      </c>
      <c r="H12" s="3">
        <f t="shared" si="0"/>
        <v>1.9672774018244637E-4</v>
      </c>
      <c r="I12" s="3">
        <f>PARAMETERS!$B$24*NAP*POWER(A12/555,PARAMETERS!$B$25)</f>
        <v>1.0200000000000001E-4</v>
      </c>
      <c r="J12" s="10">
        <f t="shared" si="2"/>
        <v>3.7649867087621884E-3</v>
      </c>
      <c r="K12" s="11">
        <f>PARAMETERS!$B$13*CALCULATIONS!J12/(CALCULATIONS!F12+CALCULATIONS!J12)</f>
        <v>5.8841106502801985E-2</v>
      </c>
      <c r="L12" s="11">
        <f t="shared" si="3"/>
        <v>1.8729705913835205E-2</v>
      </c>
      <c r="O12" s="3"/>
      <c r="P12" s="3"/>
      <c r="Q12" s="3"/>
      <c r="R12" s="3"/>
      <c r="S12" s="3"/>
      <c r="T12" s="3"/>
    </row>
    <row r="13" spans="1:23" x14ac:dyDescent="0.25">
      <c r="A13" s="1">
        <f>PARAMETERS!I14</f>
        <v>410</v>
      </c>
      <c r="B13" s="3">
        <f>PARAMETERS!J14</f>
        <v>6.7000000000000002E-3</v>
      </c>
      <c r="C13" s="3">
        <f>CHL*PARAMETERS!M14</f>
        <v>1.1522436875011234E-3</v>
      </c>
      <c r="D13" s="3">
        <f>NAP*PARAMETERS!$B$21*EXP(-PARAMETERS!$B$22*(A13-443))</f>
        <v>6.1526751667968012E-4</v>
      </c>
      <c r="E13" s="3">
        <f>CDOM*EXP(-PARAMETERS!$B$23*(CALCULATIONS!A13-443))</f>
        <v>1.7874678331794103E-3</v>
      </c>
      <c r="F13" s="10">
        <f t="shared" si="1"/>
        <v>1.0254979037360215E-2</v>
      </c>
      <c r="G13" s="3">
        <f>PARAMETERS!$B$16*PARAMETERS!$B$17*POWER(A13/500,PARAMETERS!$B$18)</f>
        <v>3.3938031607095259E-3</v>
      </c>
      <c r="H13" s="3">
        <f t="shared" si="0"/>
        <v>1.9576160904811701E-4</v>
      </c>
      <c r="I13" s="3">
        <f>PARAMETERS!$B$24*NAP*POWER(A13/555,PARAMETERS!$B$25)</f>
        <v>1.0200000000000001E-4</v>
      </c>
      <c r="J13" s="10">
        <f t="shared" si="2"/>
        <v>3.6915647697576431E-3</v>
      </c>
      <c r="K13" s="11">
        <f>PARAMETERS!$B$13*CALCULATIONS!J13/(CALCULATIONS!F13+CALCULATIONS!J13)</f>
        <v>5.7294507677212315E-2</v>
      </c>
      <c r="L13" s="11">
        <f t="shared" si="3"/>
        <v>1.8237408217689773E-2</v>
      </c>
      <c r="O13" s="3"/>
      <c r="P13" s="3"/>
      <c r="Q13" s="3"/>
      <c r="R13" s="3"/>
      <c r="S13" s="3"/>
      <c r="T13" s="3"/>
    </row>
    <row r="14" spans="1:23" x14ac:dyDescent="0.25">
      <c r="A14" s="1">
        <f>PARAMETERS!I15</f>
        <v>412</v>
      </c>
      <c r="B14" s="3">
        <f>PARAMETERS!J15</f>
        <v>6.8999999999999999E-3</v>
      </c>
      <c r="C14" s="3">
        <f>CHL*PARAMETERS!M15</f>
        <v>1.2055980096801774E-3</v>
      </c>
      <c r="D14" s="3">
        <f>NAP*PARAMETERS!$B$21*EXP(-PARAMETERS!$B$22*(A14-443))</f>
        <v>6.0031658618229827E-4</v>
      </c>
      <c r="E14" s="3">
        <f>CDOM*EXP(-PARAMETERS!$B$23*(CALCULATIONS!A14-443))</f>
        <v>1.7256434578974656E-3</v>
      </c>
      <c r="F14" s="10">
        <f t="shared" si="1"/>
        <v>1.0431558053759941E-2</v>
      </c>
      <c r="G14" s="3">
        <f>PARAMETERS!$B$16*PARAMETERS!$B$17*POWER(A14/500,PARAMETERS!$B$18)</f>
        <v>3.3232035074470807E-3</v>
      </c>
      <c r="H14" s="3">
        <f t="shared" si="0"/>
        <v>1.9480555764205519E-4</v>
      </c>
      <c r="I14" s="3">
        <f>PARAMETERS!$B$24*NAP*POWER(A14/555,PARAMETERS!$B$25)</f>
        <v>1.0200000000000001E-4</v>
      </c>
      <c r="J14" s="10">
        <f t="shared" si="2"/>
        <v>3.6200090650891359E-3</v>
      </c>
      <c r="K14" s="11">
        <f>PARAMETERS!$B$13*CALCULATIONS!J14/(CALCULATIONS!F14+CALCULATIONS!J14)</f>
        <v>5.5764009240825543E-2</v>
      </c>
      <c r="L14" s="11">
        <f t="shared" si="3"/>
        <v>1.775023543459903E-2</v>
      </c>
      <c r="O14" s="3"/>
      <c r="P14" s="3"/>
      <c r="Q14" s="3"/>
      <c r="R14" s="3"/>
      <c r="S14" s="3"/>
      <c r="T14" s="3"/>
    </row>
    <row r="15" spans="1:23" x14ac:dyDescent="0.25">
      <c r="A15" s="1">
        <f>PARAMETERS!I16</f>
        <v>414</v>
      </c>
      <c r="B15" s="3">
        <f>PARAMETERS!J16</f>
        <v>7.1999999999999998E-3</v>
      </c>
      <c r="C15" s="3">
        <f>CHL*PARAMETERS!M16</f>
        <v>1.2718744218973553E-3</v>
      </c>
      <c r="D15" s="3">
        <f>NAP*PARAMETERS!$B$21*EXP(-PARAMETERS!$B$22*(A15-443))</f>
        <v>5.857289615911731E-4</v>
      </c>
      <c r="E15" s="3">
        <f>CDOM*EXP(-PARAMETERS!$B$23*(CALCULATIONS!A15-443))</f>
        <v>1.6659574446649254E-3</v>
      </c>
      <c r="F15" s="10">
        <f t="shared" si="1"/>
        <v>1.0723560828153454E-2</v>
      </c>
      <c r="G15" s="3">
        <f>PARAMETERS!$B$16*PARAMETERS!$B$17*POWER(A15/500,PARAMETERS!$B$18)</f>
        <v>3.2544037912946226E-3</v>
      </c>
      <c r="H15" s="3">
        <f t="shared" si="0"/>
        <v>1.9385943263283361E-4</v>
      </c>
      <c r="I15" s="3">
        <f>PARAMETERS!$B$24*NAP*POWER(A15/555,PARAMETERS!$B$25)</f>
        <v>1.0200000000000001E-4</v>
      </c>
      <c r="J15" s="10">
        <f t="shared" si="2"/>
        <v>3.5502632239274561E-3</v>
      </c>
      <c r="K15" s="11">
        <f>PARAMETERS!$B$13*CALCULATIONS!J15/(CALCULATIONS!F15+CALCULATIONS!J15)</f>
        <v>5.3838048488564848E-2</v>
      </c>
      <c r="L15" s="11">
        <f t="shared" si="3"/>
        <v>1.713718308675248E-2</v>
      </c>
      <c r="O15" s="3"/>
      <c r="P15" s="3"/>
      <c r="Q15" s="3"/>
      <c r="R15" s="3"/>
      <c r="S15" s="3"/>
      <c r="T15" s="3"/>
    </row>
    <row r="16" spans="1:23" x14ac:dyDescent="0.25">
      <c r="A16" s="1">
        <f>PARAMETERS!I17</f>
        <v>416</v>
      </c>
      <c r="B16" s="3">
        <f>PARAMETERS!J17</f>
        <v>7.3999999999999995E-3</v>
      </c>
      <c r="C16" s="3">
        <f>CHL*PARAMETERS!M17</f>
        <v>1.3183359832169394E-3</v>
      </c>
      <c r="D16" s="3">
        <f>NAP*PARAMETERS!$B$21*EXP(-PARAMETERS!$B$22*(A16-443))</f>
        <v>5.7149581461420941E-4</v>
      </c>
      <c r="E16" s="3">
        <f>CDOM*EXP(-PARAMETERS!$B$23*(CALCULATIONS!A16-443))</f>
        <v>1.6083358324877081E-3</v>
      </c>
      <c r="F16" s="10">
        <f t="shared" si="1"/>
        <v>1.0898167630318856E-2</v>
      </c>
      <c r="G16" s="3">
        <f>PARAMETERS!$B$16*PARAMETERS!$B$17*POWER(A16/500,PARAMETERS!$B$18)</f>
        <v>3.1873497574089094E-3</v>
      </c>
      <c r="H16" s="3">
        <f t="shared" si="0"/>
        <v>1.9292308374717433E-4</v>
      </c>
      <c r="I16" s="3">
        <f>PARAMETERS!$B$24*NAP*POWER(A16/555,PARAMETERS!$B$25)</f>
        <v>1.0200000000000001E-4</v>
      </c>
      <c r="J16" s="10">
        <f t="shared" si="2"/>
        <v>3.4822728411560838E-3</v>
      </c>
      <c r="K16" s="11">
        <f>PARAMETERS!$B$13*CALCULATIONS!J16/(CALCULATIONS!F16+CALCULATIONS!J16)</f>
        <v>5.2415496224334127E-2</v>
      </c>
      <c r="L16" s="11">
        <f t="shared" si="3"/>
        <v>1.6684370637434706E-2</v>
      </c>
      <c r="O16" s="3"/>
      <c r="P16" s="3"/>
      <c r="Q16" s="3"/>
      <c r="R16" s="3"/>
      <c r="S16" s="3"/>
      <c r="T16" s="3"/>
    </row>
    <row r="17" spans="1:20" x14ac:dyDescent="0.25">
      <c r="A17" s="1">
        <f>PARAMETERS!I18</f>
        <v>418</v>
      </c>
      <c r="B17" s="3">
        <f>PARAMETERS!J18</f>
        <v>7.6000000000000009E-3</v>
      </c>
      <c r="C17" s="3">
        <f>CHL*PARAMETERS!M18</f>
        <v>1.3640347263154827E-3</v>
      </c>
      <c r="D17" s="3">
        <f>NAP*PARAMETERS!$B$21*EXP(-PARAMETERS!$B$22*(A17-443))</f>
        <v>5.5760853148580395E-4</v>
      </c>
      <c r="E17" s="3">
        <f>CDOM*EXP(-PARAMETERS!$B$23*(CALCULATIONS!A17-443))</f>
        <v>1.5527072185113359E-3</v>
      </c>
      <c r="F17" s="10">
        <f t="shared" si="1"/>
        <v>1.1074350476312623E-2</v>
      </c>
      <c r="G17" s="3">
        <f>PARAMETERS!$B$16*PARAMETERS!$B$17*POWER(A17/500,PARAMETERS!$B$18)</f>
        <v>3.121989036090957E-3</v>
      </c>
      <c r="H17" s="3">
        <f t="shared" si="0"/>
        <v>1.9199636369461975E-4</v>
      </c>
      <c r="I17" s="3">
        <f>PARAMETERS!$B$24*NAP*POWER(A17/555,PARAMETERS!$B$25)</f>
        <v>1.0200000000000001E-4</v>
      </c>
      <c r="J17" s="10">
        <f t="shared" si="2"/>
        <v>3.4159853997855769E-3</v>
      </c>
      <c r="K17" s="11">
        <f>PARAMETERS!$B$13*CALCULATIONS!J17/(CALCULATIONS!F17+CALCULATIONS!J17)</f>
        <v>5.1027776912389654E-2</v>
      </c>
      <c r="L17" s="11">
        <f t="shared" si="3"/>
        <v>1.6242645861194612E-2</v>
      </c>
      <c r="O17" s="3"/>
      <c r="P17" s="3"/>
      <c r="Q17" s="3"/>
      <c r="R17" s="3"/>
      <c r="S17" s="3"/>
      <c r="T17" s="3"/>
    </row>
    <row r="18" spans="1:20" x14ac:dyDescent="0.25">
      <c r="A18" s="1">
        <f>PARAMETERS!I19</f>
        <v>420</v>
      </c>
      <c r="B18" s="3">
        <f>PARAMETERS!J19</f>
        <v>7.899999999999999E-3</v>
      </c>
      <c r="C18" s="3">
        <f>CHL*PARAMETERS!M19</f>
        <v>1.4107498019493641E-3</v>
      </c>
      <c r="D18" s="3">
        <f>NAP*PARAMETERS!$B$21*EXP(-PARAMETERS!$B$22*(A18-443))</f>
        <v>5.4405870775387486E-4</v>
      </c>
      <c r="E18" s="3">
        <f>CDOM*EXP(-PARAMETERS!$B$23*(CALCULATIONS!A18-443))</f>
        <v>1.4990026695408066E-3</v>
      </c>
      <c r="F18" s="10">
        <f t="shared" si="1"/>
        <v>1.1353811179244045E-2</v>
      </c>
      <c r="G18" s="3">
        <f>PARAMETERS!$B$16*PARAMETERS!$B$17*POWER(A18/500,PARAMETERS!$B$18)</f>
        <v>3.0582710686885223E-3</v>
      </c>
      <c r="H18" s="3">
        <f t="shared" si="0"/>
        <v>1.9107912809440914E-4</v>
      </c>
      <c r="I18" s="3">
        <f>PARAMETERS!$B$24*NAP*POWER(A18/555,PARAMETERS!$B$25)</f>
        <v>1.0200000000000001E-4</v>
      </c>
      <c r="J18" s="10">
        <f t="shared" si="2"/>
        <v>3.3513501967829314E-3</v>
      </c>
      <c r="K18" s="11">
        <f>PARAMETERS!$B$13*CALCULATIONS!J18/(CALCULATIONS!F18+CALCULATIONS!J18)</f>
        <v>4.9330908218144863E-2</v>
      </c>
      <c r="L18" s="11">
        <f t="shared" si="3"/>
        <v>1.5702515780260717E-2</v>
      </c>
      <c r="O18" s="3"/>
      <c r="P18" s="3"/>
      <c r="Q18" s="3"/>
      <c r="R18" s="3"/>
      <c r="S18" s="3"/>
      <c r="T18" s="3"/>
    </row>
    <row r="19" spans="1:20" x14ac:dyDescent="0.25">
      <c r="A19" s="1">
        <f>PARAMETERS!I20</f>
        <v>422</v>
      </c>
      <c r="B19" s="3">
        <f>PARAMETERS!J20</f>
        <v>8.2000000000000007E-3</v>
      </c>
      <c r="C19" s="3">
        <f>CHL*PARAMETERS!M20</f>
        <v>1.4692457684307388E-3</v>
      </c>
      <c r="D19" s="3">
        <f>NAP*PARAMETERS!$B$21*EXP(-PARAMETERS!$B$22*(A19-443))</f>
        <v>5.3083814319356785E-4</v>
      </c>
      <c r="E19" s="3">
        <f>CDOM*EXP(-PARAMETERS!$B$23*(CALCULATIONS!A19-443))</f>
        <v>1.4471556366207874E-3</v>
      </c>
      <c r="F19" s="10">
        <f t="shared" si="1"/>
        <v>1.1647239548245095E-2</v>
      </c>
      <c r="G19" s="3">
        <f>PARAMETERS!$B$16*PARAMETERS!$B$17*POWER(A19/500,PARAMETERS!$B$18)</f>
        <v>2.9961470367457703E-3</v>
      </c>
      <c r="H19" s="3">
        <f t="shared" si="0"/>
        <v>1.9017123540448463E-4</v>
      </c>
      <c r="I19" s="3">
        <f>PARAMETERS!$B$24*NAP*POWER(A19/555,PARAMETERS!$B$25)</f>
        <v>1.0200000000000001E-4</v>
      </c>
      <c r="J19" s="10">
        <f t="shared" si="2"/>
        <v>3.2883182721502552E-3</v>
      </c>
      <c r="K19" s="11">
        <f>PARAMETERS!$B$13*CALCULATIONS!J19/(CALCULATIONS!F19+CALCULATIONS!J19)</f>
        <v>4.7656428586858368E-2</v>
      </c>
      <c r="L19" s="11">
        <f t="shared" si="3"/>
        <v>1.5169512359408836E-2</v>
      </c>
      <c r="O19" s="3"/>
      <c r="P19" s="3"/>
      <c r="Q19" s="3"/>
      <c r="R19" s="3"/>
      <c r="S19" s="3"/>
      <c r="T19" s="3"/>
    </row>
    <row r="20" spans="1:20" x14ac:dyDescent="0.25">
      <c r="A20" s="1">
        <f>PARAMETERS!I21</f>
        <v>424</v>
      </c>
      <c r="B20" s="3">
        <f>PARAMETERS!J21</f>
        <v>8.3999999999999995E-3</v>
      </c>
      <c r="C20" s="3">
        <f>CHL*PARAMETERS!M21</f>
        <v>1.5300603836414829E-3</v>
      </c>
      <c r="D20" s="3">
        <f>NAP*PARAMETERS!$B$21*EXP(-PARAMETERS!$B$22*(A20-443))</f>
        <v>5.1793883684455699E-4</v>
      </c>
      <c r="E20" s="3">
        <f>CDOM*EXP(-PARAMETERS!$B$23*(CALCULATIONS!A20-443))</f>
        <v>1.3971018725702847E-3</v>
      </c>
      <c r="F20" s="10">
        <f t="shared" si="1"/>
        <v>1.1845101093056323E-2</v>
      </c>
      <c r="G20" s="3">
        <f>PARAMETERS!$B$16*PARAMETERS!$B$17*POWER(A20/500,PARAMETERS!$B$18)</f>
        <v>2.9355697942432773E-3</v>
      </c>
      <c r="H20" s="3">
        <f t="shared" si="0"/>
        <v>1.8927254685255715E-4</v>
      </c>
      <c r="I20" s="3">
        <f>PARAMETERS!$B$24*NAP*POWER(A20/555,PARAMETERS!$B$25)</f>
        <v>1.0200000000000001E-4</v>
      </c>
      <c r="J20" s="10">
        <f t="shared" si="2"/>
        <v>3.2268423410958345E-3</v>
      </c>
      <c r="K20" s="11">
        <f>PARAMETERS!$B$13*CALCULATIONS!J20/(CALCULATIONS!F20+CALCULATIONS!J20)</f>
        <v>4.6342300178785496E-2</v>
      </c>
      <c r="L20" s="11">
        <f t="shared" si="3"/>
        <v>1.4751212295404274E-2</v>
      </c>
      <c r="O20" s="3"/>
      <c r="P20" s="3"/>
      <c r="Q20" s="3"/>
      <c r="R20" s="3"/>
      <c r="S20" s="3"/>
      <c r="T20" s="3"/>
    </row>
    <row r="21" spans="1:20" x14ac:dyDescent="0.25">
      <c r="A21" s="1">
        <f>PARAMETERS!I22</f>
        <v>426</v>
      </c>
      <c r="B21" s="3">
        <f>PARAMETERS!J22</f>
        <v>8.6999999999999994E-3</v>
      </c>
      <c r="C21" s="3">
        <f>CHL*PARAMETERS!M22</f>
        <v>1.5813440402665515E-3</v>
      </c>
      <c r="D21" s="3">
        <f>NAP*PARAMETERS!$B$21*EXP(-PARAMETERS!$B$22*(A21-443))</f>
        <v>5.0535298216894072E-4</v>
      </c>
      <c r="E21" s="3">
        <f>CDOM*EXP(-PARAMETERS!$B$23*(CALCULATIONS!A21-443))</f>
        <v>1.348779352369596E-3</v>
      </c>
      <c r="F21" s="10">
        <f t="shared" si="1"/>
        <v>1.2135476374805089E-2</v>
      </c>
      <c r="G21" s="3">
        <f>PARAMETERS!$B$16*PARAMETERS!$B$17*POWER(A21/500,PARAMETERS!$B$18)</f>
        <v>2.8764938027798243E-3</v>
      </c>
      <c r="H21" s="3">
        <f t="shared" si="0"/>
        <v>1.8838292636916143E-4</v>
      </c>
      <c r="I21" s="3">
        <f>PARAMETERS!$B$24*NAP*POWER(A21/555,PARAMETERS!$B$25)</f>
        <v>1.0200000000000001E-4</v>
      </c>
      <c r="J21" s="10">
        <f t="shared" si="2"/>
        <v>3.1668767291489859E-3</v>
      </c>
      <c r="K21" s="11">
        <f>PARAMETERS!$B$13*CALCULATIONS!J21/(CALCULATIONS!F21+CALCULATIONS!J21)</f>
        <v>4.4796288630103973E-2</v>
      </c>
      <c r="L21" s="11">
        <f t="shared" si="3"/>
        <v>1.4259101535304632E-2</v>
      </c>
      <c r="O21" s="3"/>
      <c r="P21" s="3"/>
      <c r="Q21" s="3"/>
      <c r="R21" s="3"/>
      <c r="S21" s="3"/>
      <c r="T21" s="3"/>
    </row>
    <row r="22" spans="1:20" x14ac:dyDescent="0.25">
      <c r="A22" s="1">
        <f>PARAMETERS!I23</f>
        <v>428</v>
      </c>
      <c r="B22" s="3">
        <f>PARAMETERS!J23</f>
        <v>8.8999999999999999E-3</v>
      </c>
      <c r="C22" s="3">
        <f>CHL*PARAMETERS!M23</f>
        <v>1.6187800554488319E-3</v>
      </c>
      <c r="D22" s="3">
        <f>NAP*PARAMETERS!$B$21*EXP(-PARAMETERS!$B$22*(A22-443))</f>
        <v>4.9307296232679778E-4</v>
      </c>
      <c r="E22" s="3">
        <f>CDOM*EXP(-PARAMETERS!$B$23*(CALCULATIONS!A22-443))</f>
        <v>1.3021281963008942E-3</v>
      </c>
      <c r="F22" s="10">
        <f t="shared" si="1"/>
        <v>1.2313981214076522E-2</v>
      </c>
      <c r="G22" s="3">
        <f>PARAMETERS!$B$16*PARAMETERS!$B$17*POWER(A22/500,PARAMETERS!$B$18)</f>
        <v>2.818875069555206E-3</v>
      </c>
      <c r="H22" s="3">
        <f t="shared" si="0"/>
        <v>1.8750224052263434E-4</v>
      </c>
      <c r="I22" s="3">
        <f>PARAMETERS!$B$24*NAP*POWER(A22/555,PARAMETERS!$B$25)</f>
        <v>1.0200000000000001E-4</v>
      </c>
      <c r="J22" s="10">
        <f t="shared" si="2"/>
        <v>3.1083773100778404E-3</v>
      </c>
      <c r="K22" s="11">
        <f>PARAMETERS!$B$13*CALCULATIONS!J22/(CALCULATIONS!F22+CALCULATIONS!J22)</f>
        <v>4.3626666480805099E-2</v>
      </c>
      <c r="L22" s="11">
        <f t="shared" si="3"/>
        <v>1.3886799242083267E-2</v>
      </c>
      <c r="O22" s="3"/>
      <c r="P22" s="3"/>
      <c r="Q22" s="3"/>
      <c r="R22" s="3"/>
      <c r="S22" s="3"/>
      <c r="T22" s="3"/>
    </row>
    <row r="23" spans="1:20" x14ac:dyDescent="0.25">
      <c r="A23" s="1">
        <f>PARAMETERS!I24</f>
        <v>430</v>
      </c>
      <c r="B23" s="3">
        <f>PARAMETERS!J24</f>
        <v>9.1999999999999998E-3</v>
      </c>
      <c r="C23" s="3">
        <f>CHL*PARAMETERS!M24</f>
        <v>1.6390315168327673E-3</v>
      </c>
      <c r="D23" s="3">
        <f>NAP*PARAMETERS!$B$21*EXP(-PARAMETERS!$B$22*(A23-443))</f>
        <v>4.8109134556654869E-4</v>
      </c>
      <c r="E23" s="3">
        <f>CDOM*EXP(-PARAMETERS!$B$23*(CALCULATIONS!A23-443))</f>
        <v>1.2570905957472016E-3</v>
      </c>
      <c r="F23" s="10">
        <f t="shared" si="1"/>
        <v>1.2577213458146518E-2</v>
      </c>
      <c r="G23" s="3">
        <f>PARAMETERS!$B$16*PARAMETERS!$B$17*POWER(A23/500,PARAMETERS!$B$18)</f>
        <v>2.7626710880206467E-3</v>
      </c>
      <c r="H23" s="3">
        <f t="shared" si="0"/>
        <v>1.8663035845595222E-4</v>
      </c>
      <c r="I23" s="3">
        <f>PARAMETERS!$B$24*NAP*POWER(A23/555,PARAMETERS!$B$25)</f>
        <v>1.0200000000000001E-4</v>
      </c>
      <c r="J23" s="10">
        <f t="shared" si="2"/>
        <v>3.0513014464765989E-3</v>
      </c>
      <c r="K23" s="11">
        <f>PARAMETERS!$B$13*CALCULATIONS!J23/(CALCULATIONS!F23+CALCULATIONS!J23)</f>
        <v>4.2260681694419149E-2</v>
      </c>
      <c r="L23" s="11">
        <f t="shared" si="3"/>
        <v>1.3451992780199965E-2</v>
      </c>
      <c r="O23" s="3"/>
      <c r="P23" s="3"/>
      <c r="Q23" s="3"/>
      <c r="R23" s="3"/>
      <c r="S23" s="3"/>
      <c r="T23" s="3"/>
    </row>
    <row r="24" spans="1:20" x14ac:dyDescent="0.25">
      <c r="A24" s="1">
        <f>PARAMETERS!I25</f>
        <v>432</v>
      </c>
      <c r="B24" s="3">
        <f>PARAMETERS!J25</f>
        <v>9.3999999999999986E-3</v>
      </c>
      <c r="C24" s="3">
        <f>CHL*PARAMETERS!M25</f>
        <v>1.6911290793468843E-3</v>
      </c>
      <c r="D24" s="3">
        <f>NAP*PARAMETERS!$B$21*EXP(-PARAMETERS!$B$22*(A24-443))</f>
        <v>4.6940088072732969E-4</v>
      </c>
      <c r="E24" s="3">
        <f>CDOM*EXP(-PARAMETERS!$B$23*(CALCULATIONS!A24-443))</f>
        <v>1.2136107415578043E-3</v>
      </c>
      <c r="F24" s="10">
        <f t="shared" si="1"/>
        <v>1.2774140701632016E-2</v>
      </c>
      <c r="G24" s="3">
        <f>PARAMETERS!$B$16*PARAMETERS!$B$17*POWER(A24/500,PARAMETERS!$B$18)</f>
        <v>2.7078407810703603E-3</v>
      </c>
      <c r="H24" s="3">
        <f t="shared" si="0"/>
        <v>1.8576715182536658E-4</v>
      </c>
      <c r="I24" s="3">
        <f>PARAMETERS!$B$24*NAP*POWER(A24/555,PARAMETERS!$B$25)</f>
        <v>1.0200000000000001E-4</v>
      </c>
      <c r="J24" s="10">
        <f t="shared" si="2"/>
        <v>2.9956079328957268E-3</v>
      </c>
      <c r="K24" s="11">
        <f>PARAMETERS!$B$13*CALCULATIONS!J24/(CALCULATIONS!F24+CALCULATIONS!J24)</f>
        <v>4.1117745654436808E-2</v>
      </c>
      <c r="L24" s="11">
        <f t="shared" si="3"/>
        <v>1.3088184939397835E-2</v>
      </c>
      <c r="O24" s="3"/>
      <c r="P24" s="3"/>
      <c r="Q24" s="3"/>
      <c r="R24" s="3"/>
      <c r="S24" s="3"/>
      <c r="T24" s="3"/>
    </row>
    <row r="25" spans="1:20" x14ac:dyDescent="0.25">
      <c r="A25" s="1">
        <f>PARAMETERS!I26</f>
        <v>434</v>
      </c>
      <c r="B25" s="3">
        <f>PARAMETERS!J26</f>
        <v>9.7000000000000003E-3</v>
      </c>
      <c r="C25" s="3">
        <f>CHL*PARAMETERS!M26</f>
        <v>1.7562935065029794E-3</v>
      </c>
      <c r="D25" s="3">
        <f>NAP*PARAMETERS!$B$21*EXP(-PARAMETERS!$B$22*(A25-443))</f>
        <v>4.5799449285065946E-4</v>
      </c>
      <c r="E25" s="3">
        <f>CDOM*EXP(-PARAMETERS!$B$23*(CALCULATIONS!A25-443))</f>
        <v>1.1716347548913417E-3</v>
      </c>
      <c r="F25" s="10">
        <f t="shared" si="1"/>
        <v>1.3085922754244981E-2</v>
      </c>
      <c r="G25" s="3">
        <f>PARAMETERS!$B$16*PARAMETERS!$B$17*POWER(A25/500,PARAMETERS!$B$18)</f>
        <v>2.6543444466543193E-3</v>
      </c>
      <c r="H25" s="3">
        <f t="shared" si="0"/>
        <v>1.8491249474077764E-4</v>
      </c>
      <c r="I25" s="3">
        <f>PARAMETERS!$B$24*NAP*POWER(A25/555,PARAMETERS!$B$25)</f>
        <v>1.0200000000000001E-4</v>
      </c>
      <c r="J25" s="10">
        <f t="shared" si="2"/>
        <v>2.941256941395097E-3</v>
      </c>
      <c r="K25" s="11">
        <f>PARAMETERS!$B$13*CALCULATIONS!J25/(CALCULATIONS!F25+CALCULATIONS!J25)</f>
        <v>3.9723266459183733E-2</v>
      </c>
      <c r="L25" s="11">
        <f t="shared" si="3"/>
        <v>1.2644308425471163E-2</v>
      </c>
      <c r="O25" s="3"/>
      <c r="P25" s="3"/>
      <c r="Q25" s="3"/>
      <c r="R25" s="3"/>
      <c r="S25" s="3"/>
      <c r="T25" s="3"/>
    </row>
    <row r="26" spans="1:20" x14ac:dyDescent="0.25">
      <c r="A26" s="1">
        <f>PARAMETERS!I27</f>
        <v>436</v>
      </c>
      <c r="B26" s="3">
        <f>PARAMETERS!J27</f>
        <v>9.8999999999999991E-3</v>
      </c>
      <c r="C26" s="3">
        <f>CHL*PARAMETERS!M27</f>
        <v>1.8070613438154468E-3</v>
      </c>
      <c r="D26" s="3">
        <f>NAP*PARAMETERS!$B$21*EXP(-PARAMETERS!$B$22*(A26-443))</f>
        <v>4.4686527889874076E-4</v>
      </c>
      <c r="E26" s="3">
        <f>CDOM*EXP(-PARAMETERS!$B$23*(CALCULATIONS!A26-443))</f>
        <v>1.1311106204508752E-3</v>
      </c>
      <c r="F26" s="10">
        <f t="shared" si="1"/>
        <v>1.3285037243165062E-2</v>
      </c>
      <c r="G26" s="3">
        <f>PARAMETERS!$B$16*PARAMETERS!$B$17*POWER(A26/500,PARAMETERS!$B$18)</f>
        <v>2.6021437056984909E-3</v>
      </c>
      <c r="H26" s="3">
        <f t="shared" si="0"/>
        <v>1.8406626370778993E-4</v>
      </c>
      <c r="I26" s="3">
        <f>PARAMETERS!$B$24*NAP*POWER(A26/555,PARAMETERS!$B$25)</f>
        <v>1.0200000000000001E-4</v>
      </c>
      <c r="J26" s="10">
        <f t="shared" si="2"/>
        <v>2.888209969406281E-3</v>
      </c>
      <c r="K26" s="11">
        <f>PARAMETERS!$B$13*CALCULATIONS!J26/(CALCULATIONS!F26+CALCULATIONS!J26)</f>
        <v>3.8654550949036866E-2</v>
      </c>
      <c r="L26" s="11">
        <f t="shared" si="3"/>
        <v>1.2304125713073462E-2</v>
      </c>
      <c r="O26" s="3"/>
      <c r="P26" s="3"/>
      <c r="Q26" s="3"/>
      <c r="R26" s="3"/>
      <c r="S26" s="3"/>
      <c r="T26" s="3"/>
    </row>
    <row r="27" spans="1:20" x14ac:dyDescent="0.25">
      <c r="A27" s="1">
        <f>PARAMETERS!I28</f>
        <v>438</v>
      </c>
      <c r="B27" s="3">
        <f>PARAMETERS!J28</f>
        <v>1.0200000000000001E-2</v>
      </c>
      <c r="C27" s="3">
        <f>CHL*PARAMETERS!M28</f>
        <v>1.8498834739871209E-3</v>
      </c>
      <c r="D27" s="3">
        <f>NAP*PARAMETERS!$B$21*EXP(-PARAMETERS!$B$22*(A27-443))</f>
        <v>4.3600650357680792E-4</v>
      </c>
      <c r="E27" s="3">
        <f>CDOM*EXP(-PARAMETERS!$B$23*(CALCULATIONS!A27-443))</f>
        <v>1.0919881220281976E-3</v>
      </c>
      <c r="F27" s="10">
        <f t="shared" si="1"/>
        <v>1.3577878099592126E-2</v>
      </c>
      <c r="G27" s="3">
        <f>PARAMETERS!$B$16*PARAMETERS!$B$17*POWER(A27/500,PARAMETERS!$B$18)</f>
        <v>2.5512014522246318E-3</v>
      </c>
      <c r="H27" s="3">
        <f t="shared" si="0"/>
        <v>1.8322833757139417E-4</v>
      </c>
      <c r="I27" s="3">
        <f>PARAMETERS!$B$24*NAP*POWER(A27/555,PARAMETERS!$B$25)</f>
        <v>1.0200000000000001E-4</v>
      </c>
      <c r="J27" s="10">
        <f t="shared" si="2"/>
        <v>2.836429789796026E-3</v>
      </c>
      <c r="K27" s="11">
        <f>PARAMETERS!$B$13*CALCULATIONS!J27/(CALCULATIONS!F27+CALCULATIONS!J27)</f>
        <v>3.7404043822714297E-2</v>
      </c>
      <c r="L27" s="11">
        <f t="shared" si="3"/>
        <v>1.1906076932021706E-2</v>
      </c>
      <c r="O27" s="3"/>
      <c r="P27" s="3"/>
      <c r="Q27" s="3"/>
      <c r="R27" s="3"/>
      <c r="S27" s="3"/>
      <c r="T27" s="3"/>
    </row>
    <row r="28" spans="1:20" x14ac:dyDescent="0.25">
      <c r="A28" s="1">
        <f>PARAMETERS!I29</f>
        <v>440</v>
      </c>
      <c r="B28" s="3">
        <f>PARAMETERS!J29</f>
        <v>1.04E-2</v>
      </c>
      <c r="C28" s="3">
        <f>CHL*PARAMETERS!M29</f>
        <v>1.8591098254783288E-3</v>
      </c>
      <c r="D28" s="3">
        <f>NAP*PARAMETERS!$B$21*EXP(-PARAMETERS!$B$22*(A28-443))</f>
        <v>4.2541159525698985E-4</v>
      </c>
      <c r="E28" s="3">
        <f>CDOM*EXP(-PARAMETERS!$B$23*(CALCULATIONS!A28-443))</f>
        <v>1.0542187802775192E-3</v>
      </c>
      <c r="F28" s="10">
        <f t="shared" si="1"/>
        <v>1.3738740201012838E-2</v>
      </c>
      <c r="G28" s="3">
        <f>PARAMETERS!$B$16*PARAMETERS!$B$17*POWER(A28/500,PARAMETERS!$B$18)</f>
        <v>2.5014818055672386E-3</v>
      </c>
      <c r="H28" s="3">
        <f t="shared" si="0"/>
        <v>1.8239859746122333E-4</v>
      </c>
      <c r="I28" s="3">
        <f>PARAMETERS!$B$24*NAP*POWER(A28/555,PARAMETERS!$B$25)</f>
        <v>1.0200000000000001E-4</v>
      </c>
      <c r="J28" s="10">
        <f t="shared" si="2"/>
        <v>2.7858804030284619E-3</v>
      </c>
      <c r="K28" s="11">
        <f>PARAMETERS!$B$13*CALCULATIONS!J28/(CALCULATIONS!F28+CALCULATIONS!J28)</f>
        <v>3.6492201633916838E-2</v>
      </c>
      <c r="L28" s="11">
        <f t="shared" si="3"/>
        <v>1.1615828548688008E-2</v>
      </c>
      <c r="O28" s="3"/>
      <c r="P28" s="3"/>
      <c r="Q28" s="3"/>
      <c r="R28" s="3"/>
      <c r="S28" s="3"/>
      <c r="T28" s="3"/>
    </row>
    <row r="29" spans="1:20" x14ac:dyDescent="0.25">
      <c r="A29" s="1">
        <f>PARAMETERS!I30</f>
        <v>442</v>
      </c>
      <c r="B29" s="3">
        <f>PARAMETERS!J30</f>
        <v>1.06E-2</v>
      </c>
      <c r="C29" s="3">
        <f>CHL*PARAMETERS!M30</f>
        <v>1.8961953274855546E-3</v>
      </c>
      <c r="D29" s="3">
        <f>NAP*PARAMETERS!$B$21*EXP(-PARAMETERS!$B$22*(A29-443))</f>
        <v>4.1507414200122358E-4</v>
      </c>
      <c r="E29" s="3">
        <f>CDOM*EXP(-PARAMETERS!$B$23*(CALCULATIONS!A29-443))</f>
        <v>1.0177557926414167E-3</v>
      </c>
      <c r="F29" s="10">
        <f t="shared" si="1"/>
        <v>1.3929025262128194E-2</v>
      </c>
      <c r="G29" s="3">
        <f>PARAMETERS!$B$16*PARAMETERS!$B$17*POWER(A29/500,PARAMETERS!$B$18)</f>
        <v>2.452950064590466E-3</v>
      </c>
      <c r="H29" s="3">
        <f t="shared" si="0"/>
        <v>1.8157692673833107E-4</v>
      </c>
      <c r="I29" s="3">
        <f>PARAMETERS!$B$24*NAP*POWER(A29/555,PARAMETERS!$B$25)</f>
        <v>1.0200000000000001E-4</v>
      </c>
      <c r="J29" s="10">
        <f t="shared" si="2"/>
        <v>2.7365269913287972E-3</v>
      </c>
      <c r="K29" s="11">
        <f>PARAMETERS!$B$13*CALCULATIONS!J29/(CALCULATIONS!F29+CALCULATIONS!J29)</f>
        <v>3.5542594031781997E-2</v>
      </c>
      <c r="L29" s="11">
        <f t="shared" si="3"/>
        <v>1.1313559060933205E-2</v>
      </c>
      <c r="O29" s="3"/>
      <c r="P29" s="3"/>
      <c r="Q29" s="3"/>
      <c r="R29" s="3"/>
      <c r="S29" s="3"/>
      <c r="T29" s="3"/>
    </row>
    <row r="30" spans="1:20" x14ac:dyDescent="0.25">
      <c r="A30" s="1">
        <f>PARAMETERS!I31</f>
        <v>444</v>
      </c>
      <c r="B30" s="3">
        <f>PARAMETERS!J31</f>
        <v>1.0799999999999999E-2</v>
      </c>
      <c r="C30" s="3">
        <f>CHL*PARAMETERS!M31</f>
        <v>1.9367100536563104E-3</v>
      </c>
      <c r="D30" s="3">
        <f>NAP*PARAMETERS!$B$21*EXP(-PARAMETERS!$B$22*(A30-443))</f>
        <v>4.0498788768080982E-4</v>
      </c>
      <c r="E30" s="3">
        <f>CDOM*EXP(-PARAMETERS!$B$23*(CALCULATIONS!A30-443))</f>
        <v>9.825539753546041E-4</v>
      </c>
      <c r="F30" s="10">
        <f t="shared" si="1"/>
        <v>1.4124251916691723E-2</v>
      </c>
      <c r="G30" s="3">
        <f>PARAMETERS!$B$16*PARAMETERS!$B$17*POWER(A30/500,PARAMETERS!$B$18)</f>
        <v>2.4055726638127278E-3</v>
      </c>
      <c r="H30" s="3">
        <f t="shared" si="0"/>
        <v>1.8076321094344464E-4</v>
      </c>
      <c r="I30" s="3">
        <f>PARAMETERS!$B$24*NAP*POWER(A30/555,PARAMETERS!$B$25)</f>
        <v>1.0200000000000001E-4</v>
      </c>
      <c r="J30" s="10">
        <f t="shared" si="2"/>
        <v>2.6883358747561725E-3</v>
      </c>
      <c r="K30" s="11">
        <f>PARAMETERS!$B$13*CALCULATIONS!J30/(CALCULATIONS!F30+CALCULATIONS!J30)</f>
        <v>3.4611311582512225E-2</v>
      </c>
      <c r="L30" s="11">
        <f t="shared" si="3"/>
        <v>1.1017122650501183E-2</v>
      </c>
      <c r="O30" s="3"/>
      <c r="P30" s="3"/>
      <c r="Q30" s="3"/>
      <c r="R30" s="3"/>
      <c r="S30" s="3"/>
      <c r="T30" s="3"/>
    </row>
    <row r="31" spans="1:20" x14ac:dyDescent="0.25">
      <c r="A31" s="1">
        <f>PARAMETERS!I32</f>
        <v>446</v>
      </c>
      <c r="B31" s="3">
        <f>PARAMETERS!J32</f>
        <v>1.1000000000000001E-2</v>
      </c>
      <c r="C31" s="3">
        <f>CHL*PARAMETERS!M32</f>
        <v>1.9642591006869266E-3</v>
      </c>
      <c r="D31" s="3">
        <f>NAP*PARAMETERS!$B$21*EXP(-PARAMETERS!$B$22*(A31-443))</f>
        <v>3.9514672819026322E-4</v>
      </c>
      <c r="E31" s="3">
        <f>CDOM*EXP(-PARAMETERS!$B$23*(CALCULATIONS!A31-443))</f>
        <v>9.4856970745365947E-4</v>
      </c>
      <c r="F31" s="10">
        <f t="shared" si="1"/>
        <v>1.4307975536330852E-2</v>
      </c>
      <c r="G31" s="3">
        <f>PARAMETERS!$B$16*PARAMETERS!$B$17*POWER(A31/500,PARAMETERS!$B$18)</f>
        <v>2.3593171313513604E-3</v>
      </c>
      <c r="H31" s="3">
        <f t="shared" si="0"/>
        <v>1.7995733774664409E-4</v>
      </c>
      <c r="I31" s="3">
        <f>PARAMETERS!$B$24*NAP*POWER(A31/555,PARAMETERS!$B$25)</f>
        <v>1.0200000000000001E-4</v>
      </c>
      <c r="J31" s="10">
        <f t="shared" si="2"/>
        <v>2.6412744690980047E-3</v>
      </c>
      <c r="K31" s="11">
        <f>PARAMETERS!$B$13*CALCULATIONS!J31/(CALCULATIONS!F31+CALCULATIONS!J31)</f>
        <v>3.3731227238851413E-2</v>
      </c>
      <c r="L31" s="11">
        <f t="shared" si="3"/>
        <v>1.0736983103238373E-2</v>
      </c>
      <c r="O31" s="3"/>
      <c r="P31" s="3"/>
      <c r="Q31" s="3"/>
      <c r="R31" s="3"/>
      <c r="S31" s="3"/>
      <c r="T31" s="3"/>
    </row>
    <row r="32" spans="1:20" x14ac:dyDescent="0.25">
      <c r="A32" s="1">
        <f>PARAMETERS!I33</f>
        <v>448</v>
      </c>
      <c r="B32" s="3">
        <f>PARAMETERS!J33</f>
        <v>1.12E-2</v>
      </c>
      <c r="C32" s="3">
        <f>CHL*PARAMETERS!M33</f>
        <v>1.9680279759366468E-3</v>
      </c>
      <c r="D32" s="3">
        <f>NAP*PARAMETERS!$B$21*EXP(-PARAMETERS!$B$22*(A32-443))</f>
        <v>3.8554470775316579E-4</v>
      </c>
      <c r="E32" s="3">
        <f>CDOM*EXP(-PARAMETERS!$B$23*(CALCULATIONS!A32-443))</f>
        <v>9.1576087672332561E-4</v>
      </c>
      <c r="F32" s="10">
        <f t="shared" si="1"/>
        <v>1.4469333560413139E-2</v>
      </c>
      <c r="G32" s="3">
        <f>PARAMETERS!$B$16*PARAMETERS!$B$17*POWER(A32/500,PARAMETERS!$B$18)</f>
        <v>2.3141520486041219E-3</v>
      </c>
      <c r="H32" s="3">
        <f t="shared" si="0"/>
        <v>1.791591968984224E-4</v>
      </c>
      <c r="I32" s="3">
        <f>PARAMETERS!$B$24*NAP*POWER(A32/555,PARAMETERS!$B$25)</f>
        <v>1.0200000000000001E-4</v>
      </c>
      <c r="J32" s="10">
        <f t="shared" si="2"/>
        <v>2.5953112455025444E-3</v>
      </c>
      <c r="K32" s="11">
        <f>PARAMETERS!$B$13*CALCULATIONS!J32/(CALCULATIONS!F32+CALCULATIONS!J32)</f>
        <v>3.2920110940359237E-2</v>
      </c>
      <c r="L32" s="11">
        <f t="shared" si="3"/>
        <v>1.0478796766583511E-2</v>
      </c>
      <c r="O32" s="3"/>
      <c r="P32" s="3"/>
      <c r="Q32" s="3"/>
      <c r="R32" s="3"/>
      <c r="S32" s="3"/>
      <c r="T32" s="3"/>
    </row>
    <row r="33" spans="1:20" x14ac:dyDescent="0.25">
      <c r="A33" s="1">
        <f>PARAMETERS!I34</f>
        <v>450</v>
      </c>
      <c r="B33" s="3">
        <f>PARAMETERS!J34</f>
        <v>1.14E-2</v>
      </c>
      <c r="C33" s="3">
        <f>CHL*PARAMETERS!M34</f>
        <v>1.9380898611867339E-3</v>
      </c>
      <c r="D33" s="3">
        <f>NAP*PARAMETERS!$B$21*EXP(-PARAMETERS!$B$22*(A33-443))</f>
        <v>3.7617601531778739E-4</v>
      </c>
      <c r="E33" s="3">
        <f>CDOM*EXP(-PARAMETERS!$B$23*(CALCULATIONS!A33-443))</f>
        <v>8.8408682751240297E-4</v>
      </c>
      <c r="F33" s="10">
        <f t="shared" si="1"/>
        <v>1.4598352704016925E-2</v>
      </c>
      <c r="G33" s="3">
        <f>PARAMETERS!$B$16*PARAMETERS!$B$17*POWER(A33/500,PARAMETERS!$B$18)</f>
        <v>2.2700470115884423E-3</v>
      </c>
      <c r="H33" s="3">
        <f t="shared" si="0"/>
        <v>1.7836868018208336E-4</v>
      </c>
      <c r="I33" s="3">
        <f>PARAMETERS!$B$24*NAP*POWER(A33/555,PARAMETERS!$B$25)</f>
        <v>1.0200000000000001E-4</v>
      </c>
      <c r="J33" s="10">
        <f t="shared" si="2"/>
        <v>2.5504156917705257E-3</v>
      </c>
      <c r="K33" s="11">
        <f>PARAMETERS!$B$13*CALCULATIONS!J33/(CALCULATIONS!F33+CALCULATIONS!J33)</f>
        <v>3.2191938651134046E-2</v>
      </c>
      <c r="L33" s="11">
        <f t="shared" si="3"/>
        <v>1.0247012328078051E-2</v>
      </c>
      <c r="O33" s="3"/>
      <c r="P33" s="3"/>
      <c r="Q33" s="3"/>
      <c r="R33" s="3"/>
      <c r="S33" s="3"/>
      <c r="T33" s="3"/>
    </row>
    <row r="34" spans="1:20" x14ac:dyDescent="0.25">
      <c r="A34" s="1">
        <f>PARAMETERS!I35</f>
        <v>452</v>
      </c>
      <c r="B34" s="3">
        <f>PARAMETERS!J35</f>
        <v>1.1599999999999999E-2</v>
      </c>
      <c r="C34" s="3">
        <f>CHL*PARAMETERS!M35</f>
        <v>1.9332715702045505E-3</v>
      </c>
      <c r="D34" s="3">
        <f>NAP*PARAMETERS!$B$21*EXP(-PARAMETERS!$B$22*(A34-443))</f>
        <v>3.6703498104029227E-4</v>
      </c>
      <c r="E34" s="3">
        <f>CDOM*EXP(-PARAMETERS!$B$23*(CALCULATIONS!A34-443))</f>
        <v>8.5350831035457006E-4</v>
      </c>
      <c r="F34" s="10">
        <f t="shared" si="1"/>
        <v>1.4753814861599412E-2</v>
      </c>
      <c r="G34" s="3">
        <f>PARAMETERS!$B$16*PARAMETERS!$B$17*POWER(A34/500,PARAMETERS!$B$18)</f>
        <v>2.2269725938632891E-3</v>
      </c>
      <c r="H34" s="3">
        <f t="shared" si="0"/>
        <v>1.7758568136743398E-4</v>
      </c>
      <c r="I34" s="3">
        <f>PARAMETERS!$B$24*NAP*POWER(A34/555,PARAMETERS!$B$25)</f>
        <v>1.0200000000000001E-4</v>
      </c>
      <c r="J34" s="10">
        <f t="shared" si="2"/>
        <v>2.5065582752307231E-3</v>
      </c>
      <c r="K34" s="11">
        <f>PARAMETERS!$B$13*CALCULATIONS!J34/(CALCULATIONS!F34+CALCULATIONS!J34)</f>
        <v>3.1433788050669181E-2</v>
      </c>
      <c r="L34" s="11">
        <f t="shared" si="3"/>
        <v>1.0005685496733906E-2</v>
      </c>
      <c r="O34" s="3"/>
      <c r="P34" s="3"/>
      <c r="Q34" s="3"/>
      <c r="R34" s="3"/>
      <c r="S34" s="3"/>
      <c r="T34" s="3"/>
    </row>
    <row r="35" spans="1:20" x14ac:dyDescent="0.25">
      <c r="A35" s="1">
        <f>PARAMETERS!I36</f>
        <v>454</v>
      </c>
      <c r="B35" s="3">
        <f>PARAMETERS!J36</f>
        <v>1.18E-2</v>
      </c>
      <c r="C35" s="3">
        <f>CHL*PARAMETERS!M36</f>
        <v>1.9314480286041563E-3</v>
      </c>
      <c r="D35" s="3">
        <f>NAP*PARAMETERS!$B$21*EXP(-PARAMETERS!$B$22*(A35-443))</f>
        <v>3.5811607285340323E-4</v>
      </c>
      <c r="E35" s="3">
        <f>CDOM*EXP(-PARAMETERS!$B$23*(CALCULATIONS!A35-443))</f>
        <v>8.2398743333170308E-4</v>
      </c>
      <c r="F35" s="10">
        <f t="shared" si="1"/>
        <v>1.4913551534789262E-2</v>
      </c>
      <c r="G35" s="3">
        <f>PARAMETERS!$B$16*PARAMETERS!$B$17*POWER(A35/500,PARAMETERS!$B$18)</f>
        <v>2.1849003109622269E-3</v>
      </c>
      <c r="H35" s="3">
        <f t="shared" si="0"/>
        <v>1.7681009616573115E-4</v>
      </c>
      <c r="I35" s="3">
        <f>PARAMETERS!$B$24*NAP*POWER(A35/555,PARAMETERS!$B$25)</f>
        <v>1.0200000000000001E-4</v>
      </c>
      <c r="J35" s="10">
        <f t="shared" si="2"/>
        <v>2.4637104071279581E-3</v>
      </c>
      <c r="K35" s="11">
        <f>PARAMETERS!$B$13*CALCULATIONS!J35/(CALCULATIONS!F35+CALCULATIONS!J35)</f>
        <v>3.0688623208174448E-2</v>
      </c>
      <c r="L35" s="11">
        <f t="shared" si="3"/>
        <v>9.7684921605312464E-3</v>
      </c>
      <c r="O35" s="3"/>
      <c r="P35" s="3"/>
      <c r="Q35" s="3"/>
      <c r="R35" s="3"/>
      <c r="S35" s="3"/>
      <c r="T35" s="3"/>
    </row>
    <row r="36" spans="1:20" x14ac:dyDescent="0.25">
      <c r="A36" s="1">
        <f>PARAMETERS!I37</f>
        <v>456</v>
      </c>
      <c r="B36" s="3">
        <f>PARAMETERS!J37</f>
        <v>1.2E-2</v>
      </c>
      <c r="C36" s="3">
        <f>CHL*PARAMETERS!M37</f>
        <v>1.9186831520217479E-3</v>
      </c>
      <c r="D36" s="3">
        <f>NAP*PARAMETERS!$B$21*EXP(-PARAMETERS!$B$22*(A36-443))</f>
        <v>3.4941389311844728E-4</v>
      </c>
      <c r="E36" s="3">
        <f>CDOM*EXP(-PARAMETERS!$B$23*(CALCULATIONS!A36-443))</f>
        <v>7.9548761511942609E-4</v>
      </c>
      <c r="F36" s="10">
        <f t="shared" si="1"/>
        <v>1.5063584660259623E-2</v>
      </c>
      <c r="G36" s="3">
        <f>PARAMETERS!$B$16*PARAMETERS!$B$17*POWER(A36/500,PARAMETERS!$B$18)</f>
        <v>2.1438025862697625E-3</v>
      </c>
      <c r="H36" s="3">
        <f t="shared" si="0"/>
        <v>1.7604182218584341E-4</v>
      </c>
      <c r="I36" s="3">
        <f>PARAMETERS!$B$24*NAP*POWER(A36/555,PARAMETERS!$B$25)</f>
        <v>1.0200000000000001E-4</v>
      </c>
      <c r="J36" s="10">
        <f t="shared" si="2"/>
        <v>2.421844408455606E-3</v>
      </c>
      <c r="K36" s="11">
        <f>PARAMETERS!$B$13*CALCULATIONS!J36/(CALCULATIONS!F36+CALCULATIONS!J36)</f>
        <v>2.9980511579091481E-2</v>
      </c>
      <c r="L36" s="11">
        <f t="shared" si="3"/>
        <v>9.5430932284724275E-3</v>
      </c>
      <c r="O36" s="3"/>
      <c r="P36" s="3"/>
      <c r="Q36" s="3"/>
      <c r="R36" s="3"/>
      <c r="S36" s="3"/>
      <c r="T36" s="3"/>
    </row>
    <row r="37" spans="1:20" x14ac:dyDescent="0.25">
      <c r="A37" s="1">
        <f>PARAMETERS!I38</f>
        <v>458</v>
      </c>
      <c r="B37" s="3">
        <f>PARAMETERS!J38</f>
        <v>1.2199999999999999E-2</v>
      </c>
      <c r="C37" s="3">
        <f>CHL*PARAMETERS!M38</f>
        <v>1.9112043114768982E-3</v>
      </c>
      <c r="D37" s="3">
        <f>NAP*PARAMETERS!$B$21*EXP(-PARAMETERS!$B$22*(A37-443))</f>
        <v>3.409231753587557E-4</v>
      </c>
      <c r="E37" s="3">
        <f>CDOM*EXP(-PARAMETERS!$B$23*(CALCULATIONS!A37-443))</f>
        <v>7.6797353965670618E-4</v>
      </c>
      <c r="F37" s="10">
        <f t="shared" si="1"/>
        <v>1.5220101026492358E-2</v>
      </c>
      <c r="G37" s="3">
        <f>PARAMETERS!$B$16*PARAMETERS!$B$17*POWER(A37/500,PARAMETERS!$B$18)</f>
        <v>2.1036527182764081E-3</v>
      </c>
      <c r="H37" s="3">
        <f t="shared" si="0"/>
        <v>1.7528075889158907E-4</v>
      </c>
      <c r="I37" s="3">
        <f>PARAMETERS!$B$24*NAP*POWER(A37/555,PARAMETERS!$B$25)</f>
        <v>1.0200000000000001E-4</v>
      </c>
      <c r="J37" s="10">
        <f t="shared" si="2"/>
        <v>2.3809334771679974E-3</v>
      </c>
      <c r="K37" s="11">
        <f>PARAMETERS!$B$13*CALCULATIONS!J37/(CALCULATIONS!F37+CALCULATIONS!J37)</f>
        <v>2.9280477968451186E-2</v>
      </c>
      <c r="L37" s="11">
        <f t="shared" si="3"/>
        <v>9.3202656095446885E-3</v>
      </c>
      <c r="O37" s="3"/>
      <c r="P37" s="3"/>
      <c r="Q37" s="3"/>
      <c r="R37" s="3"/>
      <c r="S37" s="3"/>
      <c r="T37" s="3"/>
    </row>
    <row r="38" spans="1:20" x14ac:dyDescent="0.25">
      <c r="A38" s="1">
        <f>PARAMETERS!I39</f>
        <v>460</v>
      </c>
      <c r="B38" s="3">
        <f>PARAMETERS!J39</f>
        <v>1.2400000000000001E-2</v>
      </c>
      <c r="C38" s="3">
        <f>CHL*PARAMETERS!M39</f>
        <v>1.8796112872958843E-3</v>
      </c>
      <c r="D38" s="3">
        <f>NAP*PARAMETERS!$B$21*EXP(-PARAMETERS!$B$22*(A38-443))</f>
        <v>3.3263878107244214E-4</v>
      </c>
      <c r="E38" s="3">
        <f>CDOM*EXP(-PARAMETERS!$B$23*(CALCULATIONS!A38-443))</f>
        <v>7.4141111238332301E-4</v>
      </c>
      <c r="F38" s="10">
        <f t="shared" si="1"/>
        <v>1.5353661180751651E-2</v>
      </c>
      <c r="G38" s="3">
        <f>PARAMETERS!$B$16*PARAMETERS!$B$17*POWER(A38/500,PARAMETERS!$B$18)</f>
        <v>2.0644248491510468E-3</v>
      </c>
      <c r="H38" s="3">
        <f t="shared" si="0"/>
        <v>1.7452680756021552E-4</v>
      </c>
      <c r="I38" s="3">
        <f>PARAMETERS!$B$24*NAP*POWER(A38/555,PARAMETERS!$B$25)</f>
        <v>1.0200000000000001E-4</v>
      </c>
      <c r="J38" s="10">
        <f t="shared" si="2"/>
        <v>2.3409516567112626E-3</v>
      </c>
      <c r="K38" s="11">
        <f>PARAMETERS!$B$13*CALCULATIONS!J38/(CALCULATIONS!F38+CALCULATIONS!J38)</f>
        <v>2.8636535502300043E-2</v>
      </c>
      <c r="L38" s="11">
        <f t="shared" si="3"/>
        <v>9.1152923564352083E-3</v>
      </c>
      <c r="O38" s="3"/>
      <c r="P38" s="3"/>
      <c r="Q38" s="3"/>
      <c r="R38" s="3"/>
      <c r="S38" s="3"/>
      <c r="T38" s="3"/>
    </row>
    <row r="39" spans="1:20" x14ac:dyDescent="0.25">
      <c r="A39" s="1">
        <f>PARAMETERS!I40</f>
        <v>462</v>
      </c>
      <c r="B39" s="3">
        <f>PARAMETERS!J40</f>
        <v>1.26E-2</v>
      </c>
      <c r="C39" s="3">
        <f>CHL*PARAMETERS!M40</f>
        <v>1.8721018601274926E-3</v>
      </c>
      <c r="D39" s="3">
        <f>NAP*PARAMETERS!$B$21*EXP(-PARAMETERS!$B$22*(A39-443))</f>
        <v>3.2455569662263027E-4</v>
      </c>
      <c r="E39" s="3">
        <f>CDOM*EXP(-PARAMETERS!$B$23*(CALCULATIONS!A39-443))</f>
        <v>7.1576741799098305E-4</v>
      </c>
      <c r="F39" s="10">
        <f t="shared" si="1"/>
        <v>1.5512424974741106E-2</v>
      </c>
      <c r="G39" s="3">
        <f>PARAMETERS!$B$16*PARAMETERS!$B$17*POWER(A39/500,PARAMETERS!$B$18)</f>
        <v>2.0260939345721745E-3</v>
      </c>
      <c r="H39" s="3">
        <f t="shared" si="0"/>
        <v>1.7377987124198268E-4</v>
      </c>
      <c r="I39" s="3">
        <f>PARAMETERS!$B$24*NAP*POWER(A39/555,PARAMETERS!$B$25)</f>
        <v>1.0200000000000001E-4</v>
      </c>
      <c r="J39" s="10">
        <f t="shared" si="2"/>
        <v>2.3018738058141574E-3</v>
      </c>
      <c r="K39" s="11">
        <f>PARAMETERS!$B$13*CALCULATIONS!J39/(CALCULATIONS!F39+CALCULATIONS!J39)</f>
        <v>2.7969317791548067E-2</v>
      </c>
      <c r="L39" s="11">
        <f t="shared" si="3"/>
        <v>8.9029103628659369E-3</v>
      </c>
      <c r="O39" s="3"/>
      <c r="P39" s="3"/>
      <c r="Q39" s="3"/>
      <c r="R39" s="3"/>
      <c r="S39" s="3"/>
      <c r="T39" s="3"/>
    </row>
    <row r="40" spans="1:20" x14ac:dyDescent="0.25">
      <c r="A40" s="1">
        <f>PARAMETERS!I41</f>
        <v>464</v>
      </c>
      <c r="B40" s="3">
        <f>PARAMETERS!J41</f>
        <v>1.2799999999999999E-2</v>
      </c>
      <c r="C40" s="3">
        <f>CHL*PARAMETERS!M41</f>
        <v>1.8676440992495043E-3</v>
      </c>
      <c r="D40" s="3">
        <f>NAP*PARAMETERS!$B$21*EXP(-PARAMETERS!$B$22*(A40-443))</f>
        <v>3.1666903020324805E-4</v>
      </c>
      <c r="E40" s="3">
        <f>CDOM*EXP(-PARAMETERS!$B$23*(CALCULATIONS!A40-443))</f>
        <v>6.9101067963572458E-4</v>
      </c>
      <c r="F40" s="10">
        <f t="shared" si="1"/>
        <v>1.5675323809088475E-2</v>
      </c>
      <c r="G40" s="3">
        <f>PARAMETERS!$B$16*PARAMETERS!$B$17*POWER(A40/500,PARAMETERS!$B$18)</f>
        <v>1.9886357147624154E-3</v>
      </c>
      <c r="H40" s="3">
        <f t="shared" si="0"/>
        <v>1.7303985472081842E-4</v>
      </c>
      <c r="I40" s="3">
        <f>PARAMETERS!$B$24*NAP*POWER(A40/555,PARAMETERS!$B$25)</f>
        <v>1.0200000000000001E-4</v>
      </c>
      <c r="J40" s="10">
        <f t="shared" si="2"/>
        <v>2.2636755694832337E-3</v>
      </c>
      <c r="K40" s="11">
        <f>PARAMETERS!$B$13*CALCULATIONS!J40/(CALCULATIONS!F40+CALCULATIONS!J40)</f>
        <v>2.7313984810998893E-2</v>
      </c>
      <c r="L40" s="11">
        <f t="shared" si="3"/>
        <v>8.6943113964148451E-3</v>
      </c>
      <c r="O40" s="3"/>
      <c r="P40" s="3"/>
      <c r="Q40" s="3"/>
      <c r="R40" s="3"/>
      <c r="S40" s="3"/>
      <c r="T40" s="3"/>
    </row>
    <row r="41" spans="1:20" x14ac:dyDescent="0.25">
      <c r="A41" s="1">
        <f>PARAMETERS!I42</f>
        <v>466</v>
      </c>
      <c r="B41" s="3">
        <f>PARAMETERS!J42</f>
        <v>1.2999999999999999E-2</v>
      </c>
      <c r="C41" s="3">
        <f>CHL*PARAMETERS!M42</f>
        <v>1.8543841142105633E-3</v>
      </c>
      <c r="D41" s="3">
        <f>NAP*PARAMETERS!$B$21*EXP(-PARAMETERS!$B$22*(A41-443))</f>
        <v>3.0897400887855344E-4</v>
      </c>
      <c r="E41" s="3">
        <f>CDOM*EXP(-PARAMETERS!$B$23*(CALCULATIONS!A41-443))</f>
        <v>6.6711021956107164E-4</v>
      </c>
      <c r="F41" s="10">
        <f t="shared" si="1"/>
        <v>1.583046834265019E-2</v>
      </c>
      <c r="G41" s="3">
        <f>PARAMETERS!$B$16*PARAMETERS!$B$17*POWER(A41/500,PARAMETERS!$B$18)</f>
        <v>1.952026686673406E-3</v>
      </c>
      <c r="H41" s="3">
        <f t="shared" si="0"/>
        <v>1.7230666447601132E-4</v>
      </c>
      <c r="I41" s="3">
        <f>PARAMETERS!$B$24*NAP*POWER(A41/555,PARAMETERS!$B$25)</f>
        <v>1.0200000000000001E-4</v>
      </c>
      <c r="J41" s="10">
        <f t="shared" si="2"/>
        <v>2.2263333511494173E-3</v>
      </c>
      <c r="K41" s="11">
        <f>PARAMETERS!$B$13*CALCULATIONS!J41/(CALCULATIONS!F41+CALCULATIONS!J41)</f>
        <v>2.6688149288582465E-2</v>
      </c>
      <c r="L41" s="11">
        <f t="shared" si="3"/>
        <v>8.495101762504698E-3</v>
      </c>
      <c r="O41" s="3"/>
      <c r="P41" s="3"/>
      <c r="Q41" s="3"/>
      <c r="R41" s="3"/>
      <c r="S41" s="3"/>
      <c r="T41" s="3"/>
    </row>
    <row r="42" spans="1:20" x14ac:dyDescent="0.25">
      <c r="A42" s="1">
        <f>PARAMETERS!I43</f>
        <v>468</v>
      </c>
      <c r="B42" s="3">
        <f>PARAMETERS!J43</f>
        <v>1.3300000000000001E-2</v>
      </c>
      <c r="C42" s="3">
        <f>CHL*PARAMETERS!M43</f>
        <v>1.8325034756948044E-3</v>
      </c>
      <c r="D42" s="3">
        <f>NAP*PARAMETERS!$B$21*EXP(-PARAMETERS!$B$22*(A42-443))</f>
        <v>3.014659756945983E-4</v>
      </c>
      <c r="E42" s="3">
        <f>CDOM*EXP(-PARAMETERS!$B$23*(CALCULATIONS!A42-443))</f>
        <v>6.440364210831414E-4</v>
      </c>
      <c r="F42" s="10">
        <f t="shared" si="1"/>
        <v>1.6078005872472545E-2</v>
      </c>
      <c r="G42" s="3">
        <f>PARAMETERS!$B$16*PARAMETERS!$B$17*POWER(A42/500,PARAMETERS!$B$18)</f>
        <v>1.91624407727066E-3</v>
      </c>
      <c r="H42" s="3">
        <f t="shared" si="0"/>
        <v>1.7158020864491041E-4</v>
      </c>
      <c r="I42" s="3">
        <f>PARAMETERS!$B$24*NAP*POWER(A42/555,PARAMETERS!$B$25)</f>
        <v>1.0200000000000001E-4</v>
      </c>
      <c r="J42" s="10">
        <f t="shared" si="2"/>
        <v>2.1898242859155707E-3</v>
      </c>
      <c r="K42" s="11">
        <f>PARAMETERS!$B$13*CALCULATIONS!J42/(CALCULATIONS!F42+CALCULATIONS!J42)</f>
        <v>2.5947253650925758E-2</v>
      </c>
      <c r="L42" s="11">
        <f t="shared" si="3"/>
        <v>8.2592673564081259E-3</v>
      </c>
      <c r="O42" s="3"/>
      <c r="P42" s="3"/>
      <c r="Q42" s="3"/>
      <c r="R42" s="3"/>
      <c r="S42" s="3"/>
      <c r="T42" s="3"/>
    </row>
    <row r="43" spans="1:20" x14ac:dyDescent="0.25">
      <c r="A43" s="1">
        <f>PARAMETERS!I44</f>
        <v>470</v>
      </c>
      <c r="B43" s="3">
        <f>PARAMETERS!J44</f>
        <v>1.35E-2</v>
      </c>
      <c r="C43" s="3">
        <f>CHL*PARAMETERS!M44</f>
        <v>1.8077488074368382E-3</v>
      </c>
      <c r="D43" s="3">
        <f>NAP*PARAMETERS!$B$21*EXP(-PARAMETERS!$B$22*(A43-443))</f>
        <v>2.9414038686088472E-4</v>
      </c>
      <c r="E43" s="3">
        <f>CDOM*EXP(-PARAMETERS!$B$23*(CALCULATIONS!A43-443))</f>
        <v>6.2176069189059902E-4</v>
      </c>
      <c r="F43" s="10">
        <f t="shared" si="1"/>
        <v>1.622364988618832E-2</v>
      </c>
      <c r="G43" s="3">
        <f>PARAMETERS!$B$16*PARAMETERS!$B$17*POWER(A43/500,PARAMETERS!$B$18)</f>
        <v>1.8812658178704654E-3</v>
      </c>
      <c r="H43" s="3">
        <f t="shared" si="0"/>
        <v>1.7086039698660041E-4</v>
      </c>
      <c r="I43" s="3">
        <f>PARAMETERS!$B$24*NAP*POWER(A43/555,PARAMETERS!$B$25)</f>
        <v>1.0200000000000001E-4</v>
      </c>
      <c r="J43" s="10">
        <f t="shared" si="2"/>
        <v>2.1541262148570659E-3</v>
      </c>
      <c r="K43" s="11">
        <f>PARAMETERS!$B$13*CALCULATIONS!J43/(CALCULATIONS!F43+CALCULATIONS!J43)</f>
        <v>2.5371566616149876E-2</v>
      </c>
      <c r="L43" s="11">
        <f t="shared" si="3"/>
        <v>8.0760204818911309E-3</v>
      </c>
      <c r="O43" s="3"/>
      <c r="P43" s="3"/>
      <c r="Q43" s="3"/>
      <c r="R43" s="3"/>
      <c r="S43" s="3"/>
      <c r="T43" s="3"/>
    </row>
    <row r="44" spans="1:20" x14ac:dyDescent="0.25">
      <c r="A44" s="1">
        <f>PARAMETERS!I45</f>
        <v>472</v>
      </c>
      <c r="B44" s="3">
        <f>PARAMETERS!J45</f>
        <v>1.38E-2</v>
      </c>
      <c r="C44" s="3">
        <f>CHL*PARAMETERS!M45</f>
        <v>1.7942516776624613E-3</v>
      </c>
      <c r="D44" s="3">
        <f>NAP*PARAMETERS!$B$21*EXP(-PARAMETERS!$B$22*(A44-443))</f>
        <v>2.8699280900050566E-4</v>
      </c>
      <c r="E44" s="3">
        <f>CDOM*EXP(-PARAMETERS!$B$23*(CALCULATIONS!A44-443))</f>
        <v>6.0025542861398258E-4</v>
      </c>
      <c r="F44" s="10">
        <f t="shared" si="1"/>
        <v>1.6481499915276948E-2</v>
      </c>
      <c r="G44" s="3">
        <f>PARAMETERS!$B$16*PARAMETERS!$B$17*POWER(A44/500,PARAMETERS!$B$18)</f>
        <v>1.847070519483117E-3</v>
      </c>
      <c r="H44" s="3">
        <f t="shared" si="0"/>
        <v>1.7014714084652397E-4</v>
      </c>
      <c r="I44" s="3">
        <f>PARAMETERS!$B$24*NAP*POWER(A44/555,PARAMETERS!$B$25)</f>
        <v>1.0200000000000001E-4</v>
      </c>
      <c r="J44" s="10">
        <f t="shared" si="2"/>
        <v>2.1192176603296413E-3</v>
      </c>
      <c r="K44" s="11">
        <f>PARAMETERS!$B$13*CALCULATIONS!J44/(CALCULATIONS!F44+CALCULATIONS!J44)</f>
        <v>2.4661242876923853E-2</v>
      </c>
      <c r="L44" s="11">
        <f t="shared" si="3"/>
        <v>7.8499174133044511E-3</v>
      </c>
      <c r="O44" s="3"/>
      <c r="P44" s="3"/>
      <c r="Q44" s="3"/>
      <c r="R44" s="3"/>
      <c r="S44" s="3"/>
      <c r="T44" s="3"/>
    </row>
    <row r="45" spans="1:20" x14ac:dyDescent="0.25">
      <c r="A45" s="1">
        <f>PARAMETERS!I46</f>
        <v>474</v>
      </c>
      <c r="B45" s="3">
        <f>PARAMETERS!J46</f>
        <v>1.4100000000000001E-2</v>
      </c>
      <c r="C45" s="3">
        <f>CHL*PARAMETERS!M46</f>
        <v>1.7882454141053101E-3</v>
      </c>
      <c r="D45" s="3">
        <f>NAP*PARAMETERS!$B$21*EXP(-PARAMETERS!$B$22*(A45-443))</f>
        <v>2.8001891646710732E-4</v>
      </c>
      <c r="E45" s="3">
        <f>CDOM*EXP(-PARAMETERS!$B$23*(CALCULATIONS!A45-443))</f>
        <v>5.7949398262049229E-4</v>
      </c>
      <c r="F45" s="10">
        <f t="shared" si="1"/>
        <v>1.6747758313192911E-2</v>
      </c>
      <c r="G45" s="3">
        <f>PARAMETERS!$B$16*PARAMETERS!$B$17*POWER(A45/500,PARAMETERS!$B$18)</f>
        <v>1.8136374491189915E-3</v>
      </c>
      <c r="H45" s="3">
        <f t="shared" si="0"/>
        <v>1.6944035312202043E-4</v>
      </c>
      <c r="I45" s="3">
        <f>PARAMETERS!$B$24*NAP*POWER(A45/555,PARAMETERS!$B$25)</f>
        <v>1.0200000000000001E-4</v>
      </c>
      <c r="J45" s="10">
        <f t="shared" si="2"/>
        <v>2.0850778022410122E-3</v>
      </c>
      <c r="K45" s="11">
        <f>PARAMETERS!$B$13*CALCULATIONS!J45/(CALCULATIONS!F45+CALCULATIONS!J45)</f>
        <v>2.3964900613759488E-2</v>
      </c>
      <c r="L45" s="11">
        <f t="shared" si="3"/>
        <v>7.6282647867716383E-3</v>
      </c>
      <c r="O45" s="3"/>
      <c r="P45" s="3"/>
      <c r="Q45" s="3"/>
      <c r="R45" s="3"/>
      <c r="S45" s="3"/>
      <c r="T45" s="3"/>
    </row>
    <row r="46" spans="1:20" x14ac:dyDescent="0.25">
      <c r="A46" s="1">
        <f>PARAMETERS!I47</f>
        <v>476</v>
      </c>
      <c r="B46" s="3">
        <f>PARAMETERS!J47</f>
        <v>1.44E-2</v>
      </c>
      <c r="C46" s="3">
        <f>CHL*PARAMETERS!M47</f>
        <v>1.7789125295159323E-3</v>
      </c>
      <c r="D46" s="3">
        <f>NAP*PARAMETERS!$B$21*EXP(-PARAMETERS!$B$22*(A46-443))</f>
        <v>2.732144887270492E-4</v>
      </c>
      <c r="E46" s="3">
        <f>CDOM*EXP(-PARAMETERS!$B$23*(CALCULATIONS!A46-443))</f>
        <v>5.5945062699185857E-4</v>
      </c>
      <c r="F46" s="10">
        <f t="shared" si="1"/>
        <v>1.7011577645234838E-2</v>
      </c>
      <c r="G46" s="3">
        <f>PARAMETERS!$B$16*PARAMETERS!$B$17*POWER(A46/500,PARAMETERS!$B$18)</f>
        <v>1.7809465070159848E-3</v>
      </c>
      <c r="H46" s="3">
        <f t="shared" si="0"/>
        <v>1.6873994822875585E-4</v>
      </c>
      <c r="I46" s="3">
        <f>PARAMETERS!$B$24*NAP*POWER(A46/555,PARAMETERS!$B$25)</f>
        <v>1.0200000000000001E-4</v>
      </c>
      <c r="J46" s="10">
        <f t="shared" si="2"/>
        <v>2.0516864552447408E-3</v>
      </c>
      <c r="K46" s="11">
        <f>PARAMETERS!$B$13*CALCULATIONS!J46/(CALCULATIONS!F46+CALCULATIONS!J46)</f>
        <v>2.3296078516411772E-2</v>
      </c>
      <c r="L46" s="11">
        <f t="shared" si="3"/>
        <v>7.4153721010876824E-3</v>
      </c>
      <c r="O46" s="3"/>
      <c r="P46" s="3"/>
      <c r="Q46" s="3"/>
      <c r="R46" s="3"/>
      <c r="S46" s="3"/>
      <c r="T46" s="3"/>
    </row>
    <row r="47" spans="1:20" x14ac:dyDescent="0.25">
      <c r="A47" s="1">
        <f>PARAMETERS!I48</f>
        <v>478</v>
      </c>
      <c r="B47" s="3">
        <f>PARAMETERS!J48</f>
        <v>1.4799999999999999E-2</v>
      </c>
      <c r="C47" s="3">
        <f>CHL*PARAMETERS!M48</f>
        <v>1.7527558548166369E-3</v>
      </c>
      <c r="D47" s="3">
        <f>NAP*PARAMETERS!$B$21*EXP(-PARAMETERS!$B$22*(A47-443))</f>
        <v>2.665754078051769E-4</v>
      </c>
      <c r="E47" s="3">
        <f>CDOM*EXP(-PARAMETERS!$B$23*(CALCULATIONS!A47-443))</f>
        <v>5.4010052464437065E-4</v>
      </c>
      <c r="F47" s="10">
        <f t="shared" si="1"/>
        <v>1.7359431787266184E-2</v>
      </c>
      <c r="G47" s="3">
        <f>PARAMETERS!$B$16*PARAMETERS!$B$17*POWER(A47/500,PARAMETERS!$B$18)</f>
        <v>1.7489782047488203E-3</v>
      </c>
      <c r="H47" s="3">
        <f t="shared" si="0"/>
        <v>1.6804584206801647E-4</v>
      </c>
      <c r="I47" s="3">
        <f>PARAMETERS!$B$24*NAP*POWER(A47/555,PARAMETERS!$B$25)</f>
        <v>1.0200000000000001E-4</v>
      </c>
      <c r="J47" s="10">
        <f t="shared" si="2"/>
        <v>2.0190240468168368E-3</v>
      </c>
      <c r="K47" s="11">
        <f>PARAMETERS!$B$13*CALCULATIONS!J47/(CALCULATIONS!F47+CALCULATIONS!J47)</f>
        <v>2.2552330042222513E-2</v>
      </c>
      <c r="L47" s="11">
        <f t="shared" si="3"/>
        <v>7.178629608919131E-3</v>
      </c>
      <c r="O47" s="3"/>
      <c r="P47" s="3"/>
      <c r="Q47" s="3"/>
      <c r="R47" s="3"/>
      <c r="S47" s="3"/>
      <c r="T47" s="3"/>
    </row>
    <row r="48" spans="1:20" x14ac:dyDescent="0.25">
      <c r="A48" s="1">
        <f>PARAMETERS!I49</f>
        <v>480</v>
      </c>
      <c r="B48" s="3">
        <f>PARAMETERS!J49</f>
        <v>1.5200000000000002E-2</v>
      </c>
      <c r="C48" s="3">
        <f>CHL*PARAMETERS!M49</f>
        <v>1.7083092622797265E-3</v>
      </c>
      <c r="D48" s="3">
        <f>NAP*PARAMETERS!$B$21*EXP(-PARAMETERS!$B$22*(A48-443))</f>
        <v>2.6009765579266267E-4</v>
      </c>
      <c r="E48" s="3">
        <f>CDOM*EXP(-PARAMETERS!$B$23*(CALCULATIONS!A48-443))</f>
        <v>5.2141969755155804E-4</v>
      </c>
      <c r="F48" s="10">
        <f t="shared" si="1"/>
        <v>1.768982661562395E-2</v>
      </c>
      <c r="G48" s="3">
        <f>PARAMETERS!$B$16*PARAMETERS!$B$17*POWER(A48/500,PARAMETERS!$B$18)</f>
        <v>1.7177136441825626E-3</v>
      </c>
      <c r="H48" s="3">
        <f t="shared" si="0"/>
        <v>1.6735795199483927E-4</v>
      </c>
      <c r="I48" s="3">
        <f>PARAMETERS!$B$24*NAP*POWER(A48/555,PARAMETERS!$B$25)</f>
        <v>1.0200000000000001E-4</v>
      </c>
      <c r="J48" s="10">
        <f t="shared" si="2"/>
        <v>1.9870715961774017E-3</v>
      </c>
      <c r="K48" s="11">
        <f>PARAMETERS!$B$13*CALCULATIONS!J48/(CALCULATIONS!F48+CALCULATIONS!J48)</f>
        <v>2.1858782613918746E-2</v>
      </c>
      <c r="L48" s="11">
        <f t="shared" si="3"/>
        <v>6.9578666059526987E-3</v>
      </c>
      <c r="O48" s="3"/>
      <c r="P48" s="3"/>
      <c r="Q48" s="3"/>
      <c r="R48" s="3"/>
      <c r="S48" s="3"/>
      <c r="T48" s="3"/>
    </row>
    <row r="49" spans="1:20" x14ac:dyDescent="0.25">
      <c r="A49" s="1">
        <f>PARAMETERS!I50</f>
        <v>482</v>
      </c>
      <c r="B49" s="3">
        <f>PARAMETERS!J50</f>
        <v>1.5699999999999999E-2</v>
      </c>
      <c r="C49" s="3">
        <f>CHL*PARAMETERS!M50</f>
        <v>1.6799320320092992E-3</v>
      </c>
      <c r="D49" s="3">
        <f>NAP*PARAMETERS!$B$21*EXP(-PARAMETERS!$B$22*(A49-443))</f>
        <v>2.5377731241540524E-4</v>
      </c>
      <c r="E49" s="3">
        <f>CDOM*EXP(-PARAMETERS!$B$23*(CALCULATIONS!A49-443))</f>
        <v>5.0338499703138915E-4</v>
      </c>
      <c r="F49" s="10">
        <f t="shared" si="1"/>
        <v>1.8137094341456095E-2</v>
      </c>
      <c r="G49" s="3">
        <f>PARAMETERS!$B$16*PARAMETERS!$B$17*POWER(A49/500,PARAMETERS!$B$18)</f>
        <v>1.6871344972344362E-3</v>
      </c>
      <c r="H49" s="3">
        <f t="shared" si="0"/>
        <v>1.6667619678695637E-4</v>
      </c>
      <c r="I49" s="3">
        <f>PARAMETERS!$B$24*NAP*POWER(A49/555,PARAMETERS!$B$25)</f>
        <v>1.0200000000000001E-4</v>
      </c>
      <c r="J49" s="10">
        <f t="shared" si="2"/>
        <v>1.9558106940213925E-3</v>
      </c>
      <c r="K49" s="11">
        <f>PARAMETERS!$B$13*CALCULATIONS!J49/(CALCULATIONS!F49+CALCULATIONS!J49)</f>
        <v>2.1069449054979421E-2</v>
      </c>
      <c r="L49" s="11">
        <f t="shared" si="3"/>
        <v>6.7066139306456753E-3</v>
      </c>
      <c r="O49" s="3"/>
      <c r="P49" s="3"/>
      <c r="Q49" s="3"/>
      <c r="R49" s="3"/>
      <c r="S49" s="3"/>
      <c r="T49" s="3"/>
    </row>
    <row r="50" spans="1:20" x14ac:dyDescent="0.25">
      <c r="A50" s="1">
        <f>PARAMETERS!I51</f>
        <v>484</v>
      </c>
      <c r="B50" s="3">
        <f>PARAMETERS!J51</f>
        <v>1.6199999999999999E-2</v>
      </c>
      <c r="C50" s="3">
        <f>CHL*PARAMETERS!M51</f>
        <v>1.6383172269556769E-3</v>
      </c>
      <c r="D50" s="3">
        <f>NAP*PARAMETERS!$B$21*EXP(-PARAMETERS!$B$22*(A50-443))</f>
        <v>2.4761055266151692E-4</v>
      </c>
      <c r="E50" s="3">
        <f>CDOM*EXP(-PARAMETERS!$B$23*(CALCULATIONS!A50-443))</f>
        <v>4.8597407506116667E-4</v>
      </c>
      <c r="F50" s="10">
        <f t="shared" si="1"/>
        <v>1.8571901854678358E-2</v>
      </c>
      <c r="G50" s="3">
        <f>PARAMETERS!$B$16*PARAMETERS!$B$17*POWER(A50/500,PARAMETERS!$B$18)</f>
        <v>1.657222986409719E-3</v>
      </c>
      <c r="H50" s="3">
        <f t="shared" si="0"/>
        <v>1.6600049661452798E-4</v>
      </c>
      <c r="I50" s="3">
        <f>PARAMETERS!$B$24*NAP*POWER(A50/555,PARAMETERS!$B$25)</f>
        <v>1.0200000000000001E-4</v>
      </c>
      <c r="J50" s="10">
        <f t="shared" si="2"/>
        <v>1.9252234830242471E-3</v>
      </c>
      <c r="K50" s="11">
        <f>PARAMETERS!$B$13*CALCULATIONS!J50/(CALCULATIONS!F50+CALCULATIONS!J50)</f>
        <v>2.0330932018195337E-2</v>
      </c>
      <c r="L50" s="11">
        <f t="shared" si="3"/>
        <v>6.4715366567221436E-3</v>
      </c>
      <c r="O50" s="3"/>
      <c r="P50" s="3"/>
      <c r="Q50" s="3"/>
      <c r="R50" s="3"/>
      <c r="S50" s="3"/>
      <c r="T50" s="3"/>
    </row>
    <row r="51" spans="1:20" x14ac:dyDescent="0.25">
      <c r="A51" s="1">
        <f>PARAMETERS!I52</f>
        <v>486</v>
      </c>
      <c r="B51" s="3">
        <f>PARAMETERS!J52</f>
        <v>1.67E-2</v>
      </c>
      <c r="C51" s="3">
        <f>CHL*PARAMETERS!M52</f>
        <v>1.5879793844559998E-3</v>
      </c>
      <c r="D51" s="3">
        <f>NAP*PARAMETERS!$B$21*EXP(-PARAMETERS!$B$22*(A51-443))</f>
        <v>2.4159364446646263E-4</v>
      </c>
      <c r="E51" s="3">
        <f>CDOM*EXP(-PARAMETERS!$B$23*(CALCULATIONS!A51-443))</f>
        <v>4.6916535658457405E-4</v>
      </c>
      <c r="F51" s="10">
        <f t="shared" si="1"/>
        <v>1.8998738385507034E-2</v>
      </c>
      <c r="G51" s="3">
        <f>PARAMETERS!$B$16*PARAMETERS!$B$17*POWER(A51/500,PARAMETERS!$B$18)</f>
        <v>1.6279618660790575E-3</v>
      </c>
      <c r="H51" s="3">
        <f t="shared" si="0"/>
        <v>1.6533077301064136E-4</v>
      </c>
      <c r="I51" s="3">
        <f>PARAMETERS!$B$24*NAP*POWER(A51/555,PARAMETERS!$B$25)</f>
        <v>1.0200000000000001E-4</v>
      </c>
      <c r="J51" s="10">
        <f t="shared" si="2"/>
        <v>1.8952926390896989E-3</v>
      </c>
      <c r="K51" s="11">
        <f>PARAMETERS!$B$13*CALCULATIONS!J51/(CALCULATIONS!F51+CALCULATIONS!J51)</f>
        <v>1.963464869647407E-2</v>
      </c>
      <c r="L51" s="11">
        <f t="shared" si="3"/>
        <v>6.2499027918333757E-3</v>
      </c>
      <c r="O51" s="3"/>
      <c r="P51" s="3"/>
      <c r="Q51" s="3"/>
      <c r="R51" s="3"/>
      <c r="S51" s="3"/>
      <c r="T51" s="3"/>
    </row>
    <row r="52" spans="1:20" x14ac:dyDescent="0.25">
      <c r="A52" s="1">
        <f>PARAMETERS!I53</f>
        <v>488</v>
      </c>
      <c r="B52" s="3">
        <f>PARAMETERS!J53</f>
        <v>1.7399999999999999E-2</v>
      </c>
      <c r="C52" s="3">
        <f>CHL*PARAMETERS!M53</f>
        <v>1.5261745364741803E-3</v>
      </c>
      <c r="D52" s="3">
        <f>NAP*PARAMETERS!$B$21*EXP(-PARAMETERS!$B$22*(A52-443))</f>
        <v>2.3572294645445016E-4</v>
      </c>
      <c r="E52" s="3">
        <f>CDOM*EXP(-PARAMETERS!$B$23*(CALCULATIONS!A52-443))</f>
        <v>4.529380127765577E-4</v>
      </c>
      <c r="F52" s="10">
        <f t="shared" si="1"/>
        <v>1.9614835495705186E-2</v>
      </c>
      <c r="G52" s="3">
        <f>PARAMETERS!$B$16*PARAMETERS!$B$17*POWER(A52/500,PARAMETERS!$B$18)</f>
        <v>1.5993344044660631E-3</v>
      </c>
      <c r="H52" s="3">
        <f t="shared" si="0"/>
        <v>1.6466694884255284E-4</v>
      </c>
      <c r="I52" s="3">
        <f>PARAMETERS!$B$24*NAP*POWER(A52/555,PARAMETERS!$B$25)</f>
        <v>1.0200000000000001E-4</v>
      </c>
      <c r="J52" s="10">
        <f t="shared" si="2"/>
        <v>1.866001353308616E-3</v>
      </c>
      <c r="K52" s="11">
        <f>PARAMETERS!$B$13*CALCULATIONS!J52/(CALCULATIONS!F52+CALCULATIONS!J52)</f>
        <v>1.8803117173765677E-2</v>
      </c>
      <c r="L52" s="11">
        <f t="shared" si="3"/>
        <v>5.9852180874818322E-3</v>
      </c>
      <c r="O52" s="3"/>
      <c r="P52" s="3"/>
      <c r="Q52" s="3"/>
      <c r="R52" s="3"/>
      <c r="S52" s="3"/>
      <c r="T52" s="3"/>
    </row>
    <row r="53" spans="1:20" x14ac:dyDescent="0.25">
      <c r="A53" s="1">
        <f>PARAMETERS!I54</f>
        <v>490</v>
      </c>
      <c r="B53" s="3">
        <f>PARAMETERS!J54</f>
        <v>1.8100000000000002E-2</v>
      </c>
      <c r="C53" s="3">
        <f>CHL*PARAMETERS!M54</f>
        <v>1.4446098202985341E-3</v>
      </c>
      <c r="D53" s="3">
        <f>NAP*PARAMETERS!$B$21*EXP(-PARAMETERS!$B$22*(A53-443))</f>
        <v>2.2999490573470362E-4</v>
      </c>
      <c r="E53" s="3">
        <f>CDOM*EXP(-PARAMETERS!$B$23*(CALCULATIONS!A53-443))</f>
        <v>4.3727193523291464E-4</v>
      </c>
      <c r="F53" s="10">
        <f t="shared" si="1"/>
        <v>2.0211876661266153E-2</v>
      </c>
      <c r="G53" s="3">
        <f>PARAMETERS!$B$16*PARAMETERS!$B$17*POWER(A53/500,PARAMETERS!$B$18)</f>
        <v>1.5713243663154667E-3</v>
      </c>
      <c r="H53" s="3">
        <f t="shared" si="0"/>
        <v>1.6400894828365187E-4</v>
      </c>
      <c r="I53" s="3">
        <f>PARAMETERS!$B$24*NAP*POWER(A53/555,PARAMETERS!$B$25)</f>
        <v>1.0200000000000001E-4</v>
      </c>
      <c r="J53" s="10">
        <f t="shared" si="2"/>
        <v>1.8373333145991187E-3</v>
      </c>
      <c r="K53" s="11">
        <f>PARAMETERS!$B$13*CALCULATIONS!J53/(CALCULATIONS!F53+CALCULATIONS!J53)</f>
        <v>1.8036987780581243E-2</v>
      </c>
      <c r="L53" s="11">
        <f t="shared" si="3"/>
        <v>5.741351527535239E-3</v>
      </c>
      <c r="O53" s="3"/>
      <c r="P53" s="3"/>
      <c r="Q53" s="3"/>
      <c r="R53" s="3"/>
      <c r="S53" s="3"/>
      <c r="T53" s="3"/>
    </row>
    <row r="54" spans="1:20" x14ac:dyDescent="0.25">
      <c r="A54" s="1">
        <f>PARAMETERS!I55</f>
        <v>492</v>
      </c>
      <c r="B54" s="3">
        <f>PARAMETERS!J55</f>
        <v>1.89E-2</v>
      </c>
      <c r="C54" s="3">
        <f>CHL*PARAMETERS!M55</f>
        <v>1.3756604810332895E-3</v>
      </c>
      <c r="D54" s="3">
        <f>NAP*PARAMETERS!$B$21*EXP(-PARAMETERS!$B$22*(A54-443))</f>
        <v>2.2440605575128794E-4</v>
      </c>
      <c r="E54" s="3">
        <f>CDOM*EXP(-PARAMETERS!$B$23*(CALCULATIONS!A54-443))</f>
        <v>4.2214771105260254E-4</v>
      </c>
      <c r="F54" s="10">
        <f t="shared" si="1"/>
        <v>2.0922214247837183E-2</v>
      </c>
      <c r="G54" s="3">
        <f>PARAMETERS!$B$16*PARAMETERS!$B$17*POWER(A54/500,PARAMETERS!$B$18)</f>
        <v>1.5439159962134831E-3</v>
      </c>
      <c r="H54" s="3">
        <f t="shared" si="0"/>
        <v>1.6335669678612503E-4</v>
      </c>
      <c r="I54" s="3">
        <f>PARAMETERS!$B$24*NAP*POWER(A54/555,PARAMETERS!$B$25)</f>
        <v>1.0200000000000001E-4</v>
      </c>
      <c r="J54" s="10">
        <f t="shared" si="2"/>
        <v>1.8092726929996082E-3</v>
      </c>
      <c r="K54" s="11">
        <f>PARAMETERS!$B$13*CALCULATIONS!J54/(CALCULATIONS!F54+CALCULATIONS!J54)</f>
        <v>1.7228413147161316E-2</v>
      </c>
      <c r="L54" s="11">
        <f t="shared" si="3"/>
        <v>5.4839742280002419E-3</v>
      </c>
      <c r="O54" s="3"/>
      <c r="P54" s="3"/>
      <c r="Q54" s="3"/>
      <c r="R54" s="3"/>
      <c r="S54" s="3"/>
      <c r="T54" s="3"/>
    </row>
    <row r="55" spans="1:20" x14ac:dyDescent="0.25">
      <c r="A55" s="1">
        <f>PARAMETERS!I56</f>
        <v>494</v>
      </c>
      <c r="B55" s="3">
        <f>PARAMETERS!J56</f>
        <v>1.9799999999999998E-2</v>
      </c>
      <c r="C55" s="3">
        <f>CHL*PARAMETERS!M56</f>
        <v>1.2871219776468313E-3</v>
      </c>
      <c r="D55" s="3">
        <f>NAP*PARAMETERS!$B$21*EXP(-PARAMETERS!$B$22*(A55-443))</f>
        <v>2.1895301418518195E-4</v>
      </c>
      <c r="E55" s="3">
        <f>CDOM*EXP(-PARAMETERS!$B$23*(CALCULATIONS!A55-443))</f>
        <v>4.0754659878189538E-4</v>
      </c>
      <c r="F55" s="10">
        <f t="shared" si="1"/>
        <v>2.1713621590613904E-2</v>
      </c>
      <c r="G55" s="3">
        <f>PARAMETERS!$B$16*PARAMETERS!$B$17*POWER(A55/500,PARAMETERS!$B$18)</f>
        <v>1.51709400253331E-3</v>
      </c>
      <c r="H55" s="3">
        <f t="shared" si="0"/>
        <v>1.6271012105430183E-4</v>
      </c>
      <c r="I55" s="3">
        <f>PARAMETERS!$B$24*NAP*POWER(A55/555,PARAMETERS!$B$25)</f>
        <v>1.0200000000000001E-4</v>
      </c>
      <c r="J55" s="10">
        <f t="shared" si="2"/>
        <v>1.781804123587612E-3</v>
      </c>
      <c r="K55" s="11">
        <f>PARAMETERS!$B$13*CALCULATIONS!J55/(CALCULATIONS!F55+CALCULATIONS!J55)</f>
        <v>1.6415183270483143E-2</v>
      </c>
      <c r="L55" s="11">
        <f t="shared" si="3"/>
        <v>5.2251151185135538E-3</v>
      </c>
      <c r="O55" s="3"/>
      <c r="P55" s="3"/>
      <c r="Q55" s="3"/>
      <c r="R55" s="3"/>
      <c r="S55" s="3"/>
      <c r="T55" s="3"/>
    </row>
    <row r="56" spans="1:20" x14ac:dyDescent="0.25">
      <c r="A56" s="1">
        <f>PARAMETERS!I57</f>
        <v>496</v>
      </c>
      <c r="B56" s="3">
        <f>PARAMETERS!J57</f>
        <v>2.0900000000000002E-2</v>
      </c>
      <c r="C56" s="3">
        <f>CHL*PARAMETERS!M57</f>
        <v>1.1972899776398242E-3</v>
      </c>
      <c r="D56" s="3">
        <f>NAP*PARAMETERS!$B$21*EXP(-PARAMETERS!$B$22*(A56-443))</f>
        <v>2.1363248090733105E-4</v>
      </c>
      <c r="E56" s="3">
        <f>CDOM*EXP(-PARAMETERS!$B$23*(CALCULATIONS!A56-443))</f>
        <v>3.934505051905747E-4</v>
      </c>
      <c r="F56" s="10">
        <f t="shared" si="1"/>
        <v>2.2704372963737729E-2</v>
      </c>
      <c r="G56" s="3">
        <f>PARAMETERS!$B$16*PARAMETERS!$B$17*POWER(A56/500,PARAMETERS!$B$18)</f>
        <v>1.4908435419799292E-3</v>
      </c>
      <c r="H56" s="3">
        <f t="shared" si="0"/>
        <v>1.6206914901865967E-4</v>
      </c>
      <c r="I56" s="3">
        <f>PARAMETERS!$B$24*NAP*POWER(A56/555,PARAMETERS!$B$25)</f>
        <v>1.0200000000000001E-4</v>
      </c>
      <c r="J56" s="10">
        <f t="shared" si="2"/>
        <v>1.754912690998589E-3</v>
      </c>
      <c r="K56" s="11">
        <f>PARAMETERS!$B$13*CALCULATIONS!J56/(CALCULATIONS!F56+CALCULATIONS!J56)</f>
        <v>1.5530335583133591E-2</v>
      </c>
      <c r="L56" s="11">
        <f t="shared" si="3"/>
        <v>4.9434593518633283E-3</v>
      </c>
      <c r="O56" s="3"/>
      <c r="P56" s="3"/>
      <c r="Q56" s="3"/>
      <c r="R56" s="3"/>
      <c r="S56" s="3"/>
      <c r="T56" s="3"/>
    </row>
    <row r="57" spans="1:20" x14ac:dyDescent="0.25">
      <c r="A57" s="1">
        <f>PARAMETERS!I58</f>
        <v>498</v>
      </c>
      <c r="B57" s="3">
        <f>PARAMETERS!J58</f>
        <v>2.23E-2</v>
      </c>
      <c r="C57" s="3">
        <f>CHL*PARAMETERS!M58</f>
        <v>1.1071621789449104E-3</v>
      </c>
      <c r="D57" s="3">
        <f>NAP*PARAMETERS!$B$21*EXP(-PARAMETERS!$B$22*(A57-443))</f>
        <v>2.0844123598144035E-4</v>
      </c>
      <c r="E57" s="3">
        <f>CDOM*EXP(-PARAMETERS!$B$23*(CALCULATIONS!A57-443))</f>
        <v>3.7984196285137866E-4</v>
      </c>
      <c r="F57" s="10">
        <f t="shared" si="1"/>
        <v>2.3995445377777726E-2</v>
      </c>
      <c r="G57" s="3">
        <f>PARAMETERS!$B$16*PARAMETERS!$B$17*POWER(A57/500,PARAMETERS!$B$18)</f>
        <v>1.4651502047095301E-3</v>
      </c>
      <c r="H57" s="3">
        <f t="shared" si="0"/>
        <v>1.6143370981047182E-4</v>
      </c>
      <c r="I57" s="3">
        <f>PARAMETERS!$B$24*NAP*POWER(A57/555,PARAMETERS!$B$25)</f>
        <v>1.0200000000000001E-4</v>
      </c>
      <c r="J57" s="10">
        <f t="shared" si="2"/>
        <v>1.7285839145200019E-3</v>
      </c>
      <c r="K57" s="11">
        <f>PARAMETERS!$B$13*CALCULATIONS!J57/(CALCULATIONS!F57+CALCULATIONS!J57)</f>
        <v>1.454522911075333E-2</v>
      </c>
      <c r="L57" s="11">
        <f t="shared" si="3"/>
        <v>4.6298902227610511E-3</v>
      </c>
      <c r="O57" s="3"/>
      <c r="P57" s="3"/>
      <c r="Q57" s="3"/>
      <c r="R57" s="3"/>
      <c r="S57" s="3"/>
      <c r="T57" s="3"/>
    </row>
    <row r="58" spans="1:20" x14ac:dyDescent="0.25">
      <c r="A58" s="1">
        <f>PARAMETERS!I59</f>
        <v>500</v>
      </c>
      <c r="B58" s="3">
        <f>PARAMETERS!J59</f>
        <v>2.3800000000000002E-2</v>
      </c>
      <c r="C58" s="3">
        <f>CHL*PARAMETERS!M59</f>
        <v>1.0086206048824668E-3</v>
      </c>
      <c r="D58" s="3">
        <f>NAP*PARAMETERS!$B$21*EXP(-PARAMETERS!$B$22*(A58-443))</f>
        <v>2.0337613771529976E-4</v>
      </c>
      <c r="E58" s="3">
        <f>CDOM*EXP(-PARAMETERS!$B$23*(CALCULATIONS!A58-443))</f>
        <v>3.6670410849492645E-4</v>
      </c>
      <c r="F58" s="10">
        <f t="shared" si="1"/>
        <v>2.5378700851092693E-2</v>
      </c>
      <c r="G58" s="3">
        <f>PARAMETERS!$B$16*PARAMETERS!$B$17*POWER(A58/500,PARAMETERS!$B$18)</f>
        <v>1.4400000000000001E-3</v>
      </c>
      <c r="H58" s="3">
        <f t="shared" si="0"/>
        <v>1.6080373373707828E-4</v>
      </c>
      <c r="I58" s="3">
        <f>PARAMETERS!$B$24*NAP*POWER(A58/555,PARAMETERS!$B$25)</f>
        <v>1.0200000000000001E-4</v>
      </c>
      <c r="J58" s="10">
        <f t="shared" si="2"/>
        <v>1.7028037337370784E-3</v>
      </c>
      <c r="K58" s="11">
        <f>PARAMETERS!$B$13*CALCULATIONS!J58/(CALCULATIONS!F58+CALCULATIONS!J58)</f>
        <v>1.3610086936047506E-2</v>
      </c>
      <c r="L58" s="11">
        <f t="shared" si="3"/>
        <v>4.3322252235647781E-3</v>
      </c>
      <c r="O58" s="3"/>
      <c r="P58" s="3"/>
      <c r="Q58" s="3"/>
      <c r="R58" s="3"/>
      <c r="S58" s="3"/>
      <c r="T58" s="3"/>
    </row>
    <row r="59" spans="1:20" x14ac:dyDescent="0.25">
      <c r="A59" s="1">
        <f>PARAMETERS!I60</f>
        <v>502</v>
      </c>
      <c r="B59" s="3">
        <f>PARAMETERS!J60</f>
        <v>2.5500000000000002E-2</v>
      </c>
      <c r="C59" s="3">
        <f>CHL*PARAMETERS!M60</f>
        <v>9.2134584325942015E-4</v>
      </c>
      <c r="D59" s="3">
        <f>NAP*PARAMETERS!$B$21*EXP(-PARAMETERS!$B$22*(A59-443))</f>
        <v>1.9843412075946161E-4</v>
      </c>
      <c r="E59" s="3">
        <f>CDOM*EXP(-PARAMETERS!$B$23*(CALCULATIONS!A59-443))</f>
        <v>3.5402066211329537E-4</v>
      </c>
      <c r="F59" s="10">
        <f t="shared" si="1"/>
        <v>2.697380062613218E-2</v>
      </c>
      <c r="G59" s="3">
        <f>PARAMETERS!$B$16*PARAMETERS!$B$17*POWER(A59/500,PARAMETERS!$B$18)</f>
        <v>1.4153793424499695E-3</v>
      </c>
      <c r="H59" s="3">
        <f t="shared" si="0"/>
        <v>1.6017915225776281E-4</v>
      </c>
      <c r="I59" s="3">
        <f>PARAMETERS!$B$24*NAP*POWER(A59/555,PARAMETERS!$B$25)</f>
        <v>1.0200000000000001E-4</v>
      </c>
      <c r="J59" s="10">
        <f t="shared" si="2"/>
        <v>1.6775584947077322E-3</v>
      </c>
      <c r="K59" s="11">
        <f>PARAMETERS!$B$13*CALCULATIONS!J59/(CALCULATIONS!F59+CALCULATIONS!J59)</f>
        <v>1.2673645026302251E-2</v>
      </c>
      <c r="L59" s="11">
        <f t="shared" si="3"/>
        <v>4.0341465058560348E-3</v>
      </c>
      <c r="O59" s="3"/>
      <c r="P59" s="3"/>
      <c r="Q59" s="3"/>
      <c r="R59" s="3"/>
      <c r="S59" s="3"/>
      <c r="T59" s="3"/>
    </row>
    <row r="60" spans="1:20" x14ac:dyDescent="0.25">
      <c r="A60" s="1">
        <f>PARAMETERS!I61</f>
        <v>504</v>
      </c>
      <c r="B60" s="3">
        <f>PARAMETERS!J61</f>
        <v>2.7300000000000001E-2</v>
      </c>
      <c r="C60" s="3">
        <f>CHL*PARAMETERS!M61</f>
        <v>8.3204398645680912E-4</v>
      </c>
      <c r="D60" s="3">
        <f>NAP*PARAMETERS!$B$21*EXP(-PARAMETERS!$B$22*(A60-443))</f>
        <v>1.9361219425212037E-4</v>
      </c>
      <c r="E60" s="3">
        <f>CDOM*EXP(-PARAMETERS!$B$23*(CALCULATIONS!A60-443))</f>
        <v>3.4177590678635672E-4</v>
      </c>
      <c r="F60" s="10">
        <f t="shared" si="1"/>
        <v>2.8667432087495288E-2</v>
      </c>
      <c r="G60" s="3">
        <f>PARAMETERS!$B$16*PARAMETERS!$B$17*POWER(A60/500,PARAMETERS!$B$18)</f>
        <v>1.3912750386849092E-3</v>
      </c>
      <c r="H60" s="3">
        <f t="shared" si="0"/>
        <v>1.5955989796021799E-4</v>
      </c>
      <c r="I60" s="3">
        <f>PARAMETERS!$B$24*NAP*POWER(A60/555,PARAMETERS!$B$25)</f>
        <v>1.0200000000000001E-4</v>
      </c>
      <c r="J60" s="10">
        <f t="shared" si="2"/>
        <v>1.6528349366451273E-3</v>
      </c>
      <c r="K60" s="11">
        <f>PARAMETERS!$B$13*CALCULATIONS!J60/(CALCULATIONS!F60+CALCULATIONS!J60)</f>
        <v>1.1799553045835605E-2</v>
      </c>
      <c r="L60" s="11">
        <f t="shared" si="3"/>
        <v>3.7559143870395323E-3</v>
      </c>
      <c r="O60" s="3"/>
      <c r="P60" s="3"/>
      <c r="Q60" s="3"/>
      <c r="R60" s="3"/>
      <c r="S60" s="3"/>
      <c r="T60" s="3"/>
    </row>
    <row r="61" spans="1:20" x14ac:dyDescent="0.25">
      <c r="A61" s="1">
        <f>PARAMETERS!I62</f>
        <v>506</v>
      </c>
      <c r="B61" s="3">
        <f>PARAMETERS!J62</f>
        <v>2.9100000000000001E-2</v>
      </c>
      <c r="C61" s="3">
        <f>CHL*PARAMETERS!M62</f>
        <v>7.4964055997797847E-4</v>
      </c>
      <c r="D61" s="3">
        <f>NAP*PARAMETERS!$B$21*EXP(-PARAMETERS!$B$22*(A61-443))</f>
        <v>1.8890744000907118E-4</v>
      </c>
      <c r="E61" s="3">
        <f>CDOM*EXP(-PARAMETERS!$B$23*(CALCULATIONS!A61-443))</f>
        <v>3.2995466920587277E-4</v>
      </c>
      <c r="F61" s="10">
        <f t="shared" si="1"/>
        <v>3.0368502669192925E-2</v>
      </c>
      <c r="G61" s="3">
        <f>PARAMETERS!$B$16*PARAMETERS!$B$17*POWER(A61/500,PARAMETERS!$B$18)</f>
        <v>1.3676742745497338E-3</v>
      </c>
      <c r="H61" s="3">
        <f t="shared" si="0"/>
        <v>1.5894590453758258E-4</v>
      </c>
      <c r="I61" s="3">
        <f>PARAMETERS!$B$24*NAP*POWER(A61/555,PARAMETERS!$B$25)</f>
        <v>1.0200000000000001E-4</v>
      </c>
      <c r="J61" s="10">
        <f t="shared" si="2"/>
        <v>1.6286201790873165E-3</v>
      </c>
      <c r="K61" s="11">
        <f>PARAMETERS!$B$13*CALCULATIONS!J61/(CALCULATIONS!F61+CALCULATIONS!J61)</f>
        <v>1.1017371082707958E-2</v>
      </c>
      <c r="L61" s="11">
        <f t="shared" si="3"/>
        <v>3.506938135381357E-3</v>
      </c>
      <c r="O61" s="3"/>
      <c r="P61" s="3"/>
      <c r="Q61" s="3"/>
      <c r="R61" s="3"/>
      <c r="S61" s="3"/>
      <c r="T61" s="3"/>
    </row>
    <row r="62" spans="1:20" x14ac:dyDescent="0.25">
      <c r="A62" s="1">
        <f>PARAMETERS!I63</f>
        <v>508</v>
      </c>
      <c r="B62" s="3">
        <f>PARAMETERS!J63</f>
        <v>3.1E-2</v>
      </c>
      <c r="C62" s="3">
        <f>CHL*PARAMETERS!M63</f>
        <v>6.7059730565145758E-4</v>
      </c>
      <c r="D62" s="3">
        <f>NAP*PARAMETERS!$B$21*EXP(-PARAMETERS!$B$22*(A62-443))</f>
        <v>1.8431701075765283E-4</v>
      </c>
      <c r="E62" s="3">
        <f>CDOM*EXP(-PARAMETERS!$B$23*(CALCULATIONS!A62-443))</f>
        <v>3.1854230087321897E-4</v>
      </c>
      <c r="F62" s="10">
        <f t="shared" si="1"/>
        <v>3.2173456617282332E-2</v>
      </c>
      <c r="G62" s="3">
        <f>PARAMETERS!$B$16*PARAMETERS!$B$17*POWER(A62/500,PARAMETERS!$B$18)</f>
        <v>1.3445646027682753E-3</v>
      </c>
      <c r="H62" s="3">
        <f t="shared" si="0"/>
        <v>1.5833710676603466E-4</v>
      </c>
      <c r="I62" s="3">
        <f>PARAMETERS!$B$24*NAP*POWER(A62/555,PARAMETERS!$B$25)</f>
        <v>1.0200000000000001E-4</v>
      </c>
      <c r="J62" s="10">
        <f t="shared" si="2"/>
        <v>1.6049017095343102E-3</v>
      </c>
      <c r="K62" s="11">
        <f>PARAMETERS!$B$13*CALCULATIONS!J62/(CALCULATIONS!F62+CALCULATIONS!J62)</f>
        <v>1.0284400855272701E-2</v>
      </c>
      <c r="L62" s="11">
        <f t="shared" si="3"/>
        <v>3.2736264657103331E-3</v>
      </c>
      <c r="O62" s="3"/>
      <c r="P62" s="3"/>
      <c r="Q62" s="3"/>
      <c r="R62" s="3"/>
      <c r="S62" s="3"/>
      <c r="T62" s="3"/>
    </row>
    <row r="63" spans="1:20" x14ac:dyDescent="0.25">
      <c r="A63" s="1">
        <f>PARAMETERS!I64</f>
        <v>510</v>
      </c>
      <c r="B63" s="3">
        <f>PARAMETERS!J64</f>
        <v>3.2899999999999999E-2</v>
      </c>
      <c r="C63" s="3">
        <f>CHL*PARAMETERS!M64</f>
        <v>5.9603601866866393E-4</v>
      </c>
      <c r="D63" s="3">
        <f>NAP*PARAMETERS!$B$21*EXP(-PARAMETERS!$B$22*(A63-443))</f>
        <v>1.7983812841360484E-4</v>
      </c>
      <c r="E63" s="3">
        <f>CDOM*EXP(-PARAMETERS!$B$23*(CALCULATIONS!A63-443))</f>
        <v>3.0752465994743485E-4</v>
      </c>
      <c r="F63" s="10">
        <f t="shared" si="1"/>
        <v>3.3983398807029705E-2</v>
      </c>
      <c r="G63" s="3">
        <f>PARAMETERS!$B$16*PARAMETERS!$B$17*POWER(A63/500,PARAMETERS!$B$18)</f>
        <v>1.3219339310508531E-3</v>
      </c>
      <c r="H63" s="3">
        <f t="shared" si="0"/>
        <v>1.5773344048292484E-4</v>
      </c>
      <c r="I63" s="3">
        <f>PARAMETERS!$B$24*NAP*POWER(A63/555,PARAMETERS!$B$25)</f>
        <v>1.0200000000000001E-4</v>
      </c>
      <c r="J63" s="10">
        <f t="shared" si="2"/>
        <v>1.5816673715337781E-3</v>
      </c>
      <c r="K63" s="11">
        <f>PARAMETERS!$B$13*CALCULATIONS!J63/(CALCULATIONS!F63+CALCULATIONS!J63)</f>
        <v>9.6263274153658707E-3</v>
      </c>
      <c r="L63" s="11">
        <f t="shared" si="3"/>
        <v>3.0641551839530141E-3</v>
      </c>
      <c r="O63" s="3"/>
      <c r="P63" s="3"/>
      <c r="Q63" s="3"/>
      <c r="R63" s="3"/>
      <c r="S63" s="3"/>
      <c r="T63" s="3"/>
    </row>
    <row r="64" spans="1:20" x14ac:dyDescent="0.25">
      <c r="A64" s="1">
        <f>PARAMETERS!I65</f>
        <v>512</v>
      </c>
      <c r="B64" s="3">
        <f>PARAMETERS!J65</f>
        <v>3.49E-2</v>
      </c>
      <c r="C64" s="3">
        <f>CHL*PARAMETERS!M65</f>
        <v>5.3826496171132494E-4</v>
      </c>
      <c r="D64" s="3">
        <f>NAP*PARAMETERS!$B$21*EXP(-PARAMETERS!$B$22*(A64-443))</f>
        <v>1.7546808239979775E-4</v>
      </c>
      <c r="E64" s="3">
        <f>CDOM*EXP(-PARAMETERS!$B$23*(CALCULATIONS!A64-443))</f>
        <v>2.9688809372110741E-4</v>
      </c>
      <c r="F64" s="10">
        <f t="shared" si="1"/>
        <v>3.5910621137832235E-2</v>
      </c>
      <c r="G64" s="3">
        <f>PARAMETERS!$B$16*PARAMETERS!$B$17*POWER(A64/500,PARAMETERS!$B$18)</f>
        <v>1.2997705106319924E-3</v>
      </c>
      <c r="H64" s="3">
        <f t="shared" si="0"/>
        <v>1.571348425654347E-4</v>
      </c>
      <c r="I64" s="3">
        <f>PARAMETERS!$B$24*NAP*POWER(A64/555,PARAMETERS!$B$25)</f>
        <v>1.0200000000000001E-4</v>
      </c>
      <c r="J64" s="10">
        <f t="shared" si="2"/>
        <v>1.5589053531974272E-3</v>
      </c>
      <c r="K64" s="11">
        <f>PARAMETERS!$B$13*CALCULATIONS!J64/(CALCULATIONS!F64+CALCULATIONS!J64)</f>
        <v>9.0055582176169248E-3</v>
      </c>
      <c r="L64" s="11">
        <f t="shared" si="3"/>
        <v>2.8665582112711442E-3</v>
      </c>
      <c r="O64" s="3"/>
      <c r="P64" s="3"/>
      <c r="Q64" s="3"/>
      <c r="R64" s="3"/>
      <c r="S64" s="3"/>
      <c r="T64" s="3"/>
    </row>
    <row r="65" spans="1:20" x14ac:dyDescent="0.25">
      <c r="A65" s="1">
        <f>PARAMETERS!I66</f>
        <v>514</v>
      </c>
      <c r="B65" s="3">
        <f>PARAMETERS!J66</f>
        <v>3.6799999999999999E-2</v>
      </c>
      <c r="C65" s="3">
        <f>CHL*PARAMETERS!M66</f>
        <v>4.8549817799695778E-4</v>
      </c>
      <c r="D65" s="3">
        <f>NAP*PARAMETERS!$B$21*EXP(-PARAMETERS!$B$22*(A65-443))</f>
        <v>1.7120422800581705E-4</v>
      </c>
      <c r="E65" s="3">
        <f>CDOM*EXP(-PARAMETERS!$B$23*(CALCULATIONS!A65-443))</f>
        <v>2.8661942170237425E-4</v>
      </c>
      <c r="F65" s="10">
        <f t="shared" si="1"/>
        <v>3.7743321827705151E-2</v>
      </c>
      <c r="G65" s="3">
        <f>PARAMETERS!$B$16*PARAMETERS!$B$17*POWER(A65/500,PARAMETERS!$B$18)</f>
        <v>1.2780629252211368E-3</v>
      </c>
      <c r="H65" s="3">
        <f t="shared" si="0"/>
        <v>1.5654125090974597E-4</v>
      </c>
      <c r="I65" s="3">
        <f>PARAMETERS!$B$24*NAP*POWER(A65/555,PARAMETERS!$B$25)</f>
        <v>1.0200000000000001E-4</v>
      </c>
      <c r="J65" s="10">
        <f t="shared" si="2"/>
        <v>1.5366041761308829E-3</v>
      </c>
      <c r="K65" s="11">
        <f>PARAMETERS!$B$13*CALCULATIONS!J65/(CALCULATIONS!F65+CALCULATIONS!J65)</f>
        <v>8.4676021161995442E-3</v>
      </c>
      <c r="L65" s="11">
        <f t="shared" si="3"/>
        <v>2.6953214658571021E-3</v>
      </c>
      <c r="O65" s="3"/>
      <c r="P65" s="3"/>
      <c r="Q65" s="3"/>
      <c r="R65" s="3"/>
      <c r="S65" s="3"/>
      <c r="T65" s="3"/>
    </row>
    <row r="66" spans="1:20" x14ac:dyDescent="0.25">
      <c r="A66" s="1">
        <f>PARAMETERS!I67</f>
        <v>516</v>
      </c>
      <c r="B66" s="3">
        <f>PARAMETERS!J67</f>
        <v>3.8600000000000002E-2</v>
      </c>
      <c r="C66" s="3">
        <f>CHL*PARAMETERS!M67</f>
        <v>4.376476475204672E-4</v>
      </c>
      <c r="D66" s="3">
        <f>NAP*PARAMETERS!$B$21*EXP(-PARAMETERS!$B$22*(A66-443))</f>
        <v>1.6704398478740984E-4</v>
      </c>
      <c r="E66" s="3">
        <f>CDOM*EXP(-PARAMETERS!$B$23*(CALCULATIONS!A66-443))</f>
        <v>2.7670591928208028E-4</v>
      </c>
      <c r="F66" s="10">
        <f t="shared" si="1"/>
        <v>3.9481397551589963E-2</v>
      </c>
      <c r="G66" s="3">
        <f>PARAMETERS!$B$16*PARAMETERS!$B$17*POWER(A66/500,PARAMETERS!$B$18)</f>
        <v>1.2568000803499313E-3</v>
      </c>
      <c r="H66" s="3">
        <f t="shared" si="0"/>
        <v>1.5595260441070578E-4</v>
      </c>
      <c r="I66" s="3">
        <f>PARAMETERS!$B$24*NAP*POWER(A66/555,PARAMETERS!$B$25)</f>
        <v>1.0200000000000001E-4</v>
      </c>
      <c r="J66" s="10">
        <f t="shared" si="2"/>
        <v>1.5147526847606372E-3</v>
      </c>
      <c r="K66" s="11">
        <f>PARAMETERS!$B$13*CALCULATIONS!J66/(CALCULATIONS!F66+CALCULATIONS!J66)</f>
        <v>7.9977486194214176E-3</v>
      </c>
      <c r="L66" s="11">
        <f t="shared" si="3"/>
        <v>2.5457624527746004E-3</v>
      </c>
      <c r="O66" s="3"/>
      <c r="P66" s="3"/>
      <c r="Q66" s="3"/>
      <c r="R66" s="3"/>
      <c r="S66" s="3"/>
      <c r="T66" s="3"/>
    </row>
    <row r="67" spans="1:20" x14ac:dyDescent="0.25">
      <c r="A67" s="1">
        <f>PARAMETERS!I68</f>
        <v>518</v>
      </c>
      <c r="B67" s="3">
        <f>PARAMETERS!J68</f>
        <v>4.0399999999999998E-2</v>
      </c>
      <c r="C67" s="3">
        <f>CHL*PARAMETERS!M68</f>
        <v>3.9371890484096999E-4</v>
      </c>
      <c r="D67" s="3">
        <f>NAP*PARAMETERS!$B$21*EXP(-PARAMETERS!$B$22*(A67-443))</f>
        <v>1.6298483500482431E-4</v>
      </c>
      <c r="E67" s="3">
        <f>CDOM*EXP(-PARAMETERS!$B$23*(CALCULATIONS!A67-443))</f>
        <v>2.6713530196585032E-4</v>
      </c>
      <c r="F67" s="10">
        <f t="shared" si="1"/>
        <v>4.1223839041811643E-2</v>
      </c>
      <c r="G67" s="3">
        <f>PARAMETERS!$B$16*PARAMETERS!$B$17*POWER(A67/500,PARAMETERS!$B$18)</f>
        <v>1.2359711931003853E-3</v>
      </c>
      <c r="H67" s="3">
        <f t="shared" si="0"/>
        <v>1.55368842941975E-4</v>
      </c>
      <c r="I67" s="3">
        <f>PARAMETERS!$B$24*NAP*POWER(A67/555,PARAMETERS!$B$25)</f>
        <v>1.0200000000000001E-4</v>
      </c>
      <c r="J67" s="10">
        <f t="shared" si="2"/>
        <v>1.4933400360423604E-3</v>
      </c>
      <c r="K67" s="11">
        <f>PARAMETERS!$B$13*CALCULATIONS!J67/(CALCULATIONS!F67+CALCULATIONS!J67)</f>
        <v>7.5670262021196224E-3</v>
      </c>
      <c r="L67" s="11">
        <f t="shared" si="3"/>
        <v>2.4086592491464587E-3</v>
      </c>
      <c r="O67" s="3"/>
      <c r="P67" s="3"/>
      <c r="Q67" s="3"/>
      <c r="R67" s="3"/>
      <c r="S67" s="3"/>
      <c r="T67" s="3"/>
    </row>
    <row r="68" spans="1:20" x14ac:dyDescent="0.25">
      <c r="A68" s="1">
        <f>PARAMETERS!I69</f>
        <v>520</v>
      </c>
      <c r="B68" s="3">
        <f>PARAMETERS!J69</f>
        <v>4.0899999999999999E-2</v>
      </c>
      <c r="C68" s="3">
        <f>CHL*PARAMETERS!M69</f>
        <v>3.5264362522451049E-4</v>
      </c>
      <c r="D68" s="3">
        <f>NAP*PARAMETERS!$B$21*EXP(-PARAMETERS!$B$22*(A68-443))</f>
        <v>1.5902432209909744E-4</v>
      </c>
      <c r="E68" s="3">
        <f>CDOM*EXP(-PARAMETERS!$B$23*(CALCULATIONS!A68-443))</f>
        <v>2.5789571015153725E-4</v>
      </c>
      <c r="F68" s="10">
        <f t="shared" si="1"/>
        <v>4.1669563657475144E-2</v>
      </c>
      <c r="G68" s="3">
        <f>PARAMETERS!$B$16*PARAMETERS!$B$17*POWER(A68/500,PARAMETERS!$B$18)</f>
        <v>1.2155657821988869E-3</v>
      </c>
      <c r="H68" s="3">
        <f t="shared" si="0"/>
        <v>1.547899073366455E-4</v>
      </c>
      <c r="I68" s="3">
        <f>PARAMETERS!$B$24*NAP*POWER(A68/555,PARAMETERS!$B$25)</f>
        <v>1.0200000000000001E-4</v>
      </c>
      <c r="J68" s="10">
        <f t="shared" si="2"/>
        <v>1.4723556895355325E-3</v>
      </c>
      <c r="K68" s="11">
        <f>PARAMETERS!$B$13*CALCULATIONS!J68/(CALCULATIONS!F68+CALCULATIONS!J68)</f>
        <v>7.3872427574948113E-3</v>
      </c>
      <c r="L68" s="11">
        <f t="shared" si="3"/>
        <v>2.3514324013502053E-3</v>
      </c>
      <c r="O68" s="3"/>
      <c r="P68" s="3"/>
      <c r="Q68" s="3"/>
      <c r="R68" s="3"/>
      <c r="S68" s="3"/>
      <c r="T68" s="3"/>
    </row>
    <row r="69" spans="1:20" x14ac:dyDescent="0.25">
      <c r="A69" s="1">
        <f>PARAMETERS!I70</f>
        <v>522</v>
      </c>
      <c r="B69" s="3">
        <f>PARAMETERS!J70</f>
        <v>4.1599999999999998E-2</v>
      </c>
      <c r="C69" s="3">
        <f>CHL*PARAMETERS!M70</f>
        <v>3.1968375453249738E-4</v>
      </c>
      <c r="D69" s="3">
        <f>NAP*PARAMETERS!$B$21*EXP(-PARAMETERS!$B$22*(A69-443))</f>
        <v>1.5516004920536908E-4</v>
      </c>
      <c r="E69" s="3">
        <f>CDOM*EXP(-PARAMETERS!$B$23*(CALCULATIONS!A69-443))</f>
        <v>2.4897569443318334E-4</v>
      </c>
      <c r="F69" s="10">
        <f t="shared" si="1"/>
        <v>4.2323819498171052E-2</v>
      </c>
      <c r="G69" s="3">
        <f>PARAMETERS!$B$16*PARAMETERS!$B$17*POWER(A69/500,PARAMETERS!$B$18)</f>
        <v>1.1955736584617013E-3</v>
      </c>
      <c r="H69" s="3">
        <f t="shared" si="0"/>
        <v>1.5421573936831476E-4</v>
      </c>
      <c r="I69" s="3">
        <f>PARAMETERS!$B$24*NAP*POWER(A69/555,PARAMETERS!$B$25)</f>
        <v>1.0200000000000001E-4</v>
      </c>
      <c r="J69" s="10">
        <f t="shared" si="2"/>
        <v>1.4517893978300161E-3</v>
      </c>
      <c r="K69" s="11">
        <f>PARAMETERS!$B$13*CALCULATIONS!J69/(CALCULATIONS!F69+CALCULATIONS!J69)</f>
        <v>7.1786126430330296E-3</v>
      </c>
      <c r="L69" s="11">
        <f t="shared" si="3"/>
        <v>2.2850233733613646E-3</v>
      </c>
      <c r="O69" s="3"/>
      <c r="P69" s="3"/>
      <c r="Q69" s="3"/>
      <c r="R69" s="3"/>
      <c r="S69" s="3"/>
      <c r="T69" s="3"/>
    </row>
    <row r="70" spans="1:20" x14ac:dyDescent="0.25">
      <c r="A70" s="1">
        <f>PARAMETERS!I71</f>
        <v>524</v>
      </c>
      <c r="B70" s="3">
        <f>PARAMETERS!J71</f>
        <v>4.0899999999999999E-2</v>
      </c>
      <c r="C70" s="3">
        <f>CHL*PARAMETERS!M71</f>
        <v>2.9058373099382864E-4</v>
      </c>
      <c r="D70" s="3">
        <f>NAP*PARAMETERS!$B$21*EXP(-PARAMETERS!$B$22*(A70-443))</f>
        <v>1.5138967770232165E-4</v>
      </c>
      <c r="E70" s="3">
        <f>CDOM*EXP(-PARAMETERS!$B$23*(CALCULATIONS!A70-443))</f>
        <v>2.4036420141328353E-4</v>
      </c>
      <c r="F70" s="10">
        <f t="shared" si="1"/>
        <v>4.1582337610109432E-2</v>
      </c>
      <c r="G70" s="3">
        <f>PARAMETERS!$B$16*PARAMETERS!$B$17*POWER(A70/500,PARAMETERS!$B$18)</f>
        <v>1.1759849155781896E-3</v>
      </c>
      <c r="H70" s="3">
        <f t="shared" si="0"/>
        <v>1.5364628173260365E-4</v>
      </c>
      <c r="I70" s="3">
        <f>PARAMETERS!$B$24*NAP*POWER(A70/555,PARAMETERS!$B$25)</f>
        <v>1.0200000000000001E-4</v>
      </c>
      <c r="J70" s="10">
        <f t="shared" si="2"/>
        <v>1.4316311973107934E-3</v>
      </c>
      <c r="K70" s="11">
        <f>PARAMETERS!$B$13*CALCULATIONS!J70/(CALCULATIONS!F70+CALCULATIONS!J70)</f>
        <v>7.2042824687620381E-3</v>
      </c>
      <c r="L70" s="11">
        <f t="shared" si="3"/>
        <v>2.293194332667523E-3</v>
      </c>
      <c r="O70" s="3"/>
      <c r="P70" s="3"/>
      <c r="Q70" s="3"/>
      <c r="R70" s="3"/>
      <c r="S70" s="3"/>
      <c r="T70" s="3"/>
    </row>
    <row r="71" spans="1:20" x14ac:dyDescent="0.25">
      <c r="A71" s="1">
        <f>PARAMETERS!I72</f>
        <v>526</v>
      </c>
      <c r="B71" s="3">
        <f>PARAMETERS!J72</f>
        <v>4.2700000000000002E-2</v>
      </c>
      <c r="C71" s="3">
        <f>CHL*PARAMETERS!M72</f>
        <v>2.6568714689159445E-4</v>
      </c>
      <c r="D71" s="3">
        <f>NAP*PARAMETERS!$B$21*EXP(-PARAMETERS!$B$22*(A71-443))</f>
        <v>1.4771092579686908E-4</v>
      </c>
      <c r="E71" s="3">
        <f>CDOM*EXP(-PARAMETERS!$B$23*(CALCULATIONS!A71-443))</f>
        <v>2.3205056000576938E-4</v>
      </c>
      <c r="F71" s="10">
        <f t="shared" si="1"/>
        <v>4.3345448632694239E-2</v>
      </c>
      <c r="G71" s="3">
        <f>PARAMETERS!$B$16*PARAMETERS!$B$17*POWER(A71/500,PARAMETERS!$B$18)</f>
        <v>1.1567899212185835E-3</v>
      </c>
      <c r="H71" s="3">
        <f t="shared" si="0"/>
        <v>1.5308147802910711E-4</v>
      </c>
      <c r="I71" s="3">
        <f>PARAMETERS!$B$24*NAP*POWER(A71/555,PARAMETERS!$B$25)</f>
        <v>1.0200000000000001E-4</v>
      </c>
      <c r="J71" s="10">
        <f t="shared" si="2"/>
        <v>1.4118713992476908E-3</v>
      </c>
      <c r="K71" s="11">
        <f>PARAMETERS!$B$13*CALCULATIONS!J71/(CALCULATIONS!F71+CALCULATIONS!J71)</f>
        <v>6.8281045331343385E-3</v>
      </c>
      <c r="L71" s="11">
        <f t="shared" si="3"/>
        <v>2.1734531767930165E-3</v>
      </c>
      <c r="O71" s="3"/>
      <c r="P71" s="3"/>
      <c r="Q71" s="3"/>
      <c r="R71" s="3"/>
      <c r="S71" s="3"/>
      <c r="T71" s="3"/>
    </row>
    <row r="72" spans="1:20" x14ac:dyDescent="0.25">
      <c r="A72" s="1">
        <f>PARAMETERS!I73</f>
        <v>528</v>
      </c>
      <c r="B72" s="3">
        <f>PARAMETERS!J73</f>
        <v>4.2299999999999997E-2</v>
      </c>
      <c r="C72" s="3">
        <f>CHL*PARAMETERS!M73</f>
        <v>2.4254111531118449E-4</v>
      </c>
      <c r="D72" s="3">
        <f>NAP*PARAMETERS!$B$21*EXP(-PARAMETERS!$B$22*(A72-443))</f>
        <v>1.4412156714323701E-4</v>
      </c>
      <c r="E72" s="3">
        <f>CDOM*EXP(-PARAMETERS!$B$23*(CALCULATIONS!A72-443))</f>
        <v>2.2402446821274174E-4</v>
      </c>
      <c r="F72" s="10">
        <f t="shared" si="1"/>
        <v>4.2910687150667162E-2</v>
      </c>
      <c r="G72" s="3">
        <f>PARAMETERS!$B$16*PARAMETERS!$B$17*POWER(A72/500,PARAMETERS!$B$18)</f>
        <v>1.1379793084537108E-3</v>
      </c>
      <c r="H72" s="3">
        <f t="shared" ref="H72:H135" si="4">(0.002+0.01*MAX(0,(0.5-0.25*LOG10(CHL)))*POWER(A72/550,$H$3))*0.416*POWER(CHL,0.766)</f>
        <v>1.5252127274376477E-4</v>
      </c>
      <c r="I72" s="3">
        <f>PARAMETERS!$B$24*NAP*POWER(A72/555,PARAMETERS!$B$25)</f>
        <v>1.0200000000000001E-4</v>
      </c>
      <c r="J72" s="10">
        <f t="shared" si="2"/>
        <v>1.3925005811974756E-3</v>
      </c>
      <c r="K72" s="11">
        <f>PARAMETERS!$B$13*CALCULATIONS!J72/(CALCULATIONS!F72+CALCULATIONS!J72)</f>
        <v>6.8034547985418529E-3</v>
      </c>
      <c r="L72" s="11">
        <f t="shared" si="3"/>
        <v>2.1656069225804218E-3</v>
      </c>
      <c r="O72" s="3"/>
      <c r="P72" s="3"/>
      <c r="Q72" s="3"/>
      <c r="R72" s="3"/>
      <c r="S72" s="3"/>
      <c r="T72" s="3"/>
    </row>
    <row r="73" spans="1:20" x14ac:dyDescent="0.25">
      <c r="A73" s="1">
        <f>PARAMETERS!I74</f>
        <v>530</v>
      </c>
      <c r="B73" s="3">
        <f>PARAMETERS!J74</f>
        <v>4.2900000000000001E-2</v>
      </c>
      <c r="C73" s="3">
        <f>CHL*PARAMETERS!M74</f>
        <v>2.2191459278170415E-4</v>
      </c>
      <c r="D73" s="3">
        <f>NAP*PARAMETERS!$B$21*EXP(-PARAMETERS!$B$22*(A73-443))</f>
        <v>1.406194294955996E-4</v>
      </c>
      <c r="E73" s="3">
        <f>CDOM*EXP(-PARAMETERS!$B$23*(CALCULATIONS!A73-443))</f>
        <v>2.1627598035856474E-4</v>
      </c>
      <c r="F73" s="10">
        <f t="shared" ref="F73:F136" si="5">SUM(B73:E73)</f>
        <v>4.347881000263587E-2</v>
      </c>
      <c r="G73" s="3">
        <f>PARAMETERS!$B$16*PARAMETERS!$B$17*POWER(A73/500,PARAMETERS!$B$18)</f>
        <v>1.1195439674745939E-3</v>
      </c>
      <c r="H73" s="3">
        <f t="shared" si="4"/>
        <v>1.5196561123164052E-4</v>
      </c>
      <c r="I73" s="3">
        <f>PARAMETERS!$B$24*NAP*POWER(A73/555,PARAMETERS!$B$25)</f>
        <v>1.0200000000000001E-4</v>
      </c>
      <c r="J73" s="10">
        <f t="shared" ref="J73:J136" si="6">SUM(G73:I73)</f>
        <v>1.3735095787062346E-3</v>
      </c>
      <c r="K73" s="11">
        <f>PARAMETERS!$B$13*CALCULATIONS!J73/(CALCULATIONS!F73+CALCULATIONS!J73)</f>
        <v>6.6285094407531088E-3</v>
      </c>
      <c r="L73" s="11">
        <f t="shared" ref="L73:L136" si="7">K73/PI()</f>
        <v>2.1099200856543039E-3</v>
      </c>
      <c r="O73" s="3"/>
      <c r="P73" s="3"/>
      <c r="Q73" s="3"/>
      <c r="R73" s="3"/>
      <c r="S73" s="3"/>
      <c r="T73" s="3"/>
    </row>
    <row r="74" spans="1:20" x14ac:dyDescent="0.25">
      <c r="A74" s="1">
        <f>PARAMETERS!I75</f>
        <v>532</v>
      </c>
      <c r="B74" s="3">
        <f>PARAMETERS!J75</f>
        <v>4.4499999999999998E-2</v>
      </c>
      <c r="C74" s="3">
        <f>CHL*PARAMETERS!M75</f>
        <v>2.0468143046601506E-4</v>
      </c>
      <c r="D74" s="3">
        <f>NAP*PARAMETERS!$B$21*EXP(-PARAMETERS!$B$22*(A74-443))</f>
        <v>1.3720239339345684E-4</v>
      </c>
      <c r="E74" s="3">
        <f>CDOM*EXP(-PARAMETERS!$B$23*(CALCULATIONS!A74-443))</f>
        <v>2.0879549476550378E-4</v>
      </c>
      <c r="F74" s="10">
        <f t="shared" si="5"/>
        <v>4.5050679318624977E-2</v>
      </c>
      <c r="G74" s="3">
        <f>PARAMETERS!$B$16*PARAMETERS!$B$17*POWER(A74/500,PARAMETERS!$B$18)</f>
        <v>1.1014750376003633E-3</v>
      </c>
      <c r="H74" s="3">
        <f t="shared" si="4"/>
        <v>1.5141443970010038E-4</v>
      </c>
      <c r="I74" s="3">
        <f>PARAMETERS!$B$24*NAP*POWER(A74/555,PARAMETERS!$B$25)</f>
        <v>1.0200000000000001E-4</v>
      </c>
      <c r="J74" s="10">
        <f t="shared" si="6"/>
        <v>1.3548894773004639E-3</v>
      </c>
      <c r="K74" s="11">
        <f>PARAMETERS!$B$13*CALCULATIONS!J74/(CALCULATIONS!F74+CALCULATIONS!J74)</f>
        <v>6.319793155870842E-3</v>
      </c>
      <c r="L74" s="11">
        <f t="shared" si="7"/>
        <v>2.0116526401503469E-3</v>
      </c>
      <c r="O74" s="3"/>
      <c r="P74" s="3"/>
      <c r="Q74" s="3"/>
      <c r="R74" s="3"/>
      <c r="S74" s="3"/>
      <c r="T74" s="3"/>
    </row>
    <row r="75" spans="1:20" x14ac:dyDescent="0.25">
      <c r="A75" s="1">
        <f>PARAMETERS!I76</f>
        <v>534</v>
      </c>
      <c r="B75" s="3">
        <f>PARAMETERS!J76</f>
        <v>4.5600000000000002E-2</v>
      </c>
      <c r="C75" s="3">
        <f>CHL*PARAMETERS!M76</f>
        <v>1.8682016679523098E-4</v>
      </c>
      <c r="D75" s="3">
        <f>NAP*PARAMETERS!$B$21*EXP(-PARAMETERS!$B$22*(A75-443))</f>
        <v>1.3386839087895717E-4</v>
      </c>
      <c r="E75" s="3">
        <f>CDOM*EXP(-PARAMETERS!$B$23*(CALCULATIONS!A75-443))</f>
        <v>2.0157374185563405E-4</v>
      </c>
      <c r="F75" s="10">
        <f t="shared" si="5"/>
        <v>4.6122262299529822E-2</v>
      </c>
      <c r="G75" s="3">
        <f>PARAMETERS!$B$16*PARAMETERS!$B$17*POWER(A75/500,PARAMETERS!$B$18)</f>
        <v>1.0837638995634107E-3</v>
      </c>
      <c r="H75" s="3">
        <f t="shared" si="4"/>
        <v>1.5086770519237761E-4</v>
      </c>
      <c r="I75" s="3">
        <f>PARAMETERS!$B$24*NAP*POWER(A75/555,PARAMETERS!$B$25)</f>
        <v>1.0200000000000001E-4</v>
      </c>
      <c r="J75" s="10">
        <f t="shared" si="6"/>
        <v>1.3366316047557884E-3</v>
      </c>
      <c r="K75" s="11">
        <f>PARAMETERS!$B$13*CALCULATIONS!J75/(CALCULATIONS!F75+CALCULATIONS!J75)</f>
        <v>6.0962561718022239E-3</v>
      </c>
      <c r="L75" s="11">
        <f t="shared" si="7"/>
        <v>1.9404986081935974E-3</v>
      </c>
      <c r="O75" s="3"/>
      <c r="P75" s="3"/>
      <c r="Q75" s="3"/>
      <c r="R75" s="3"/>
      <c r="S75" s="3"/>
      <c r="T75" s="3"/>
    </row>
    <row r="76" spans="1:20" x14ac:dyDescent="0.25">
      <c r="A76" s="1">
        <f>PARAMETERS!I77</f>
        <v>536</v>
      </c>
      <c r="B76" s="3">
        <f>PARAMETERS!J77</f>
        <v>4.7E-2</v>
      </c>
      <c r="C76" s="3">
        <f>CHL*PARAMETERS!M77</f>
        <v>1.7180402701581754E-4</v>
      </c>
      <c r="D76" s="3">
        <f>NAP*PARAMETERS!$B$21*EXP(-PARAMETERS!$B$22*(A76-443))</f>
        <v>1.3061540424538908E-4</v>
      </c>
      <c r="E76" s="3">
        <f>CDOM*EXP(-PARAMETERS!$B$23*(CALCULATIONS!A76-443))</f>
        <v>1.9460177266427702E-4</v>
      </c>
      <c r="F76" s="10">
        <f t="shared" si="5"/>
        <v>4.7497021203925481E-2</v>
      </c>
      <c r="G76" s="3">
        <f>PARAMETERS!$B$16*PARAMETERS!$B$17*POWER(A76/500,PARAMETERS!$B$18)</f>
        <v>1.0664021680611747E-3</v>
      </c>
      <c r="H76" s="3">
        <f t="shared" si="4"/>
        <v>1.5032535557151465E-4</v>
      </c>
      <c r="I76" s="3">
        <f>PARAMETERS!$B$24*NAP*POWER(A76/555,PARAMETERS!$B$25)</f>
        <v>1.0200000000000001E-4</v>
      </c>
      <c r="J76" s="10">
        <f t="shared" si="6"/>
        <v>1.3187275236326895E-3</v>
      </c>
      <c r="K76" s="11">
        <f>PARAMETERS!$B$13*CALCULATIONS!J76/(CALCULATIONS!F76+CALCULATIONS!J76)</f>
        <v>5.8474189435441326E-3</v>
      </c>
      <c r="L76" s="11">
        <f t="shared" si="7"/>
        <v>1.8612912583884744E-3</v>
      </c>
      <c r="O76" s="3"/>
      <c r="P76" s="3"/>
      <c r="Q76" s="3"/>
      <c r="R76" s="3"/>
      <c r="S76" s="3"/>
      <c r="T76" s="3"/>
    </row>
    <row r="77" spans="1:20" x14ac:dyDescent="0.25">
      <c r="A77" s="1">
        <f>PARAMETERS!I78</f>
        <v>538</v>
      </c>
      <c r="B77" s="3">
        <f>PARAMETERS!J78</f>
        <v>4.8000000000000001E-2</v>
      </c>
      <c r="C77" s="3">
        <f>CHL*PARAMETERS!M78</f>
        <v>1.5848931924611134E-4</v>
      </c>
      <c r="D77" s="3">
        <f>NAP*PARAMETERS!$B$21*EXP(-PARAMETERS!$B$22*(A77-443))</f>
        <v>1.2744146481608403E-4</v>
      </c>
      <c r="E77" s="3">
        <f>CDOM*EXP(-PARAMETERS!$B$23*(CALCULATIONS!A77-443))</f>
        <v>1.8787094775072989E-4</v>
      </c>
      <c r="F77" s="10">
        <f t="shared" si="5"/>
        <v>4.8473801731812934E-2</v>
      </c>
      <c r="G77" s="3">
        <f>PARAMETERS!$B$16*PARAMETERS!$B$17*POWER(A77/500,PARAMETERS!$B$18)</f>
        <v>1.0493816845643864E-3</v>
      </c>
      <c r="H77" s="3">
        <f t="shared" si="4"/>
        <v>1.4978733950467252E-4</v>
      </c>
      <c r="I77" s="3">
        <f>PARAMETERS!$B$24*NAP*POWER(A77/555,PARAMETERS!$B$25)</f>
        <v>1.0200000000000001E-4</v>
      </c>
      <c r="J77" s="10">
        <f t="shared" si="6"/>
        <v>1.3011690240690591E-3</v>
      </c>
      <c r="K77" s="11">
        <f>PARAMETERS!$B$13*CALCULATIONS!J77/(CALCULATIONS!F77+CALCULATIONS!J77)</f>
        <v>5.6583759200198253E-3</v>
      </c>
      <c r="L77" s="11">
        <f t="shared" si="7"/>
        <v>1.8011169950866125E-3</v>
      </c>
      <c r="O77" s="3"/>
      <c r="P77" s="3"/>
      <c r="Q77" s="3"/>
      <c r="R77" s="3"/>
      <c r="S77" s="3"/>
      <c r="T77" s="3"/>
    </row>
    <row r="78" spans="1:20" x14ac:dyDescent="0.25">
      <c r="A78" s="1">
        <f>PARAMETERS!I79</f>
        <v>540</v>
      </c>
      <c r="B78" s="3">
        <f>PARAMETERS!J79</f>
        <v>4.9500000000000002E-2</v>
      </c>
      <c r="C78" s="3">
        <f>CHL*PARAMETERS!M79</f>
        <v>1.4681544109831221E-4</v>
      </c>
      <c r="D78" s="3">
        <f>NAP*PARAMETERS!$B$21*EXP(-PARAMETERS!$B$22*(A78-443))</f>
        <v>1.2434465175299202E-4</v>
      </c>
      <c r="E78" s="3">
        <f>CDOM*EXP(-PARAMETERS!$B$23*(CALCULATIONS!A78-443))</f>
        <v>1.8137292649254819E-4</v>
      </c>
      <c r="F78" s="10">
        <f t="shared" si="5"/>
        <v>4.9952533019343853E-2</v>
      </c>
      <c r="G78" s="3">
        <f>PARAMETERS!$B$16*PARAMETERS!$B$17*POWER(A78/500,PARAMETERS!$B$18)</f>
        <v>1.0326945103720413E-3</v>
      </c>
      <c r="H78" s="3">
        <f t="shared" si="4"/>
        <v>1.4925360644779722E-4</v>
      </c>
      <c r="I78" s="3">
        <f>PARAMETERS!$B$24*NAP*POWER(A78/555,PARAMETERS!$B$25)</f>
        <v>1.0200000000000001E-4</v>
      </c>
      <c r="J78" s="10">
        <f t="shared" si="6"/>
        <v>1.2839481168198386E-3</v>
      </c>
      <c r="K78" s="11">
        <f>PARAMETERS!$B$13*CALCULATIONS!J78/(CALCULATIONS!F78+CALCULATIONS!J78)</f>
        <v>5.4242197291087041E-3</v>
      </c>
      <c r="L78" s="11">
        <f t="shared" si="7"/>
        <v>1.7265827646084635E-3</v>
      </c>
      <c r="O78" s="3"/>
      <c r="P78" s="3"/>
      <c r="Q78" s="3"/>
      <c r="R78" s="3"/>
      <c r="S78" s="3"/>
      <c r="T78" s="3"/>
    </row>
    <row r="79" spans="1:20" x14ac:dyDescent="0.25">
      <c r="A79" s="1">
        <f>PARAMETERS!I80</f>
        <v>542</v>
      </c>
      <c r="B79" s="3">
        <f>PARAMETERS!J80</f>
        <v>5.0299999999999997E-2</v>
      </c>
      <c r="C79" s="3">
        <f>CHL*PARAMETERS!M80</f>
        <v>1.3504638043566005E-4</v>
      </c>
      <c r="D79" s="3">
        <f>NAP*PARAMETERS!$B$21*EXP(-PARAMETERS!$B$22*(A79-443))</f>
        <v>1.2132309089420871E-4</v>
      </c>
      <c r="E79" s="3">
        <f>CDOM*EXP(-PARAMETERS!$B$23*(CALCULATIONS!A79-443))</f>
        <v>1.7509965675011334E-4</v>
      </c>
      <c r="F79" s="10">
        <f t="shared" si="5"/>
        <v>5.0731469128079978E-2</v>
      </c>
      <c r="G79" s="3">
        <f>PARAMETERS!$B$16*PARAMETERS!$B$17*POWER(A79/500,PARAMETERS!$B$18)</f>
        <v>1.0163329199037517E-3</v>
      </c>
      <c r="H79" s="3">
        <f t="shared" si="4"/>
        <v>1.4872410663063388E-4</v>
      </c>
      <c r="I79" s="3">
        <f>PARAMETERS!$B$24*NAP*POWER(A79/555,PARAMETERS!$B$25)</f>
        <v>1.0200000000000001E-4</v>
      </c>
      <c r="J79" s="10">
        <f t="shared" si="6"/>
        <v>1.2670570265343856E-3</v>
      </c>
      <c r="K79" s="11">
        <f>PARAMETERS!$B$13*CALCULATIONS!J79/(CALCULATIONS!F79+CALCULATIONS!J79)</f>
        <v>5.2744140799379354E-3</v>
      </c>
      <c r="L79" s="11">
        <f t="shared" si="7"/>
        <v>1.6788981454712274E-3</v>
      </c>
      <c r="O79" s="3"/>
      <c r="P79" s="3"/>
      <c r="Q79" s="3"/>
      <c r="R79" s="3"/>
      <c r="S79" s="3"/>
      <c r="T79" s="3"/>
    </row>
    <row r="80" spans="1:20" x14ac:dyDescent="0.25">
      <c r="A80" s="1">
        <f>PARAMETERS!I81</f>
        <v>544</v>
      </c>
      <c r="B80" s="3">
        <f>PARAMETERS!J81</f>
        <v>5.2700000000000004E-2</v>
      </c>
      <c r="C80" s="3">
        <f>CHL*PARAMETERS!M81</f>
        <v>1.259628590315356E-4</v>
      </c>
      <c r="D80" s="3">
        <f>NAP*PARAMETERS!$B$21*EXP(-PARAMETERS!$B$22*(A80-443))</f>
        <v>1.1837495361975028E-4</v>
      </c>
      <c r="E80" s="3">
        <f>CDOM*EXP(-PARAMETERS!$B$23*(CALCULATIONS!A80-443))</f>
        <v>1.6904336488867981E-4</v>
      </c>
      <c r="F80" s="10">
        <f t="shared" si="5"/>
        <v>5.311338117753997E-2</v>
      </c>
      <c r="G80" s="3">
        <f>PARAMETERS!$B$16*PARAMETERS!$B$17*POWER(A80/500,PARAMETERS!$B$18)</f>
        <v>1.0002893942205355E-3</v>
      </c>
      <c r="H80" s="3">
        <f t="shared" si="4"/>
        <v>1.4819879104208017E-4</v>
      </c>
      <c r="I80" s="3">
        <f>PARAMETERS!$B$24*NAP*POWER(A80/555,PARAMETERS!$B$25)</f>
        <v>1.0200000000000001E-4</v>
      </c>
      <c r="J80" s="10">
        <f t="shared" si="6"/>
        <v>1.2504881852626157E-3</v>
      </c>
      <c r="K80" s="11">
        <f>PARAMETERS!$B$13*CALCULATIONS!J80/(CALCULATIONS!F80+CALCULATIONS!J80)</f>
        <v>4.9789564459311805E-3</v>
      </c>
      <c r="L80" s="11">
        <f t="shared" si="7"/>
        <v>1.584851059618405E-3</v>
      </c>
      <c r="O80" s="3"/>
      <c r="P80" s="3"/>
      <c r="Q80" s="3"/>
      <c r="R80" s="3"/>
      <c r="S80" s="3"/>
      <c r="T80" s="3"/>
    </row>
    <row r="81" spans="1:20" x14ac:dyDescent="0.25">
      <c r="A81" s="1">
        <f>PARAMETERS!I82</f>
        <v>546</v>
      </c>
      <c r="B81" s="3">
        <f>PARAMETERS!J82</f>
        <v>5.4399999999999997E-2</v>
      </c>
      <c r="C81" s="3">
        <f>CHL*PARAMETERS!M82</f>
        <v>1.1654628946218909E-4</v>
      </c>
      <c r="D81" s="3">
        <f>NAP*PARAMETERS!$B$21*EXP(-PARAMETERS!$B$22*(A81-443))</f>
        <v>1.1549845574488994E-4</v>
      </c>
      <c r="E81" s="3">
        <f>CDOM*EXP(-PARAMETERS!$B$23*(CALCULATIONS!A81-443))</f>
        <v>1.631965461455357E-4</v>
      </c>
      <c r="F81" s="10">
        <f t="shared" si="5"/>
        <v>5.4795241291352617E-2</v>
      </c>
      <c r="G81" s="3">
        <f>PARAMETERS!$B$16*PARAMETERS!$B$17*POWER(A81/500,PARAMETERS!$B$18)</f>
        <v>9.8455661476544985E-4</v>
      </c>
      <c r="H81" s="3">
        <f t="shared" si="4"/>
        <v>1.4767761141586889E-4</v>
      </c>
      <c r="I81" s="3">
        <f>PARAMETERS!$B$24*NAP*POWER(A81/555,PARAMETERS!$B$25)</f>
        <v>1.0200000000000001E-4</v>
      </c>
      <c r="J81" s="10">
        <f t="shared" si="6"/>
        <v>1.2342342261813188E-3</v>
      </c>
      <c r="K81" s="11">
        <f>PARAMETERS!$B$13*CALCULATIONS!J81/(CALCULATIONS!F81+CALCULATIONS!J81)</f>
        <v>4.768152346267443E-3</v>
      </c>
      <c r="L81" s="11">
        <f t="shared" si="7"/>
        <v>1.5177500306473642E-3</v>
      </c>
      <c r="O81" s="3"/>
      <c r="P81" s="3"/>
      <c r="Q81" s="3"/>
      <c r="R81" s="3"/>
      <c r="S81" s="3"/>
      <c r="T81" s="3"/>
    </row>
    <row r="82" spans="1:20" x14ac:dyDescent="0.25">
      <c r="A82" s="1">
        <f>PARAMETERS!I83</f>
        <v>548</v>
      </c>
      <c r="B82" s="3">
        <f>PARAMETERS!J83</f>
        <v>5.6400000000000006E-2</v>
      </c>
      <c r="C82" s="3">
        <f>CHL*PARAMETERS!M83</f>
        <v>1.0891259161859385E-4</v>
      </c>
      <c r="D82" s="3">
        <f>NAP*PARAMETERS!$B$21*EXP(-PARAMETERS!$B$22*(A82-443))</f>
        <v>1.1269185644038645E-4</v>
      </c>
      <c r="E82" s="3">
        <f>CDOM*EXP(-PARAMETERS!$B$23*(CALCULATIONS!A82-443))</f>
        <v>1.5755195533034193E-4</v>
      </c>
      <c r="F82" s="10">
        <f t="shared" si="5"/>
        <v>5.6779156403389333E-2</v>
      </c>
      <c r="G82" s="3">
        <f>PARAMETERS!$B$16*PARAMETERS!$B$17*POWER(A82/500,PARAMETERS!$B$18)</f>
        <v>9.6912745731584933E-4</v>
      </c>
      <c r="H82" s="3">
        <f t="shared" si="4"/>
        <v>1.4716052021657237E-4</v>
      </c>
      <c r="I82" s="3">
        <f>PARAMETERS!$B$24*NAP*POWER(A82/555,PARAMETERS!$B$25)</f>
        <v>1.0200000000000001E-4</v>
      </c>
      <c r="J82" s="10">
        <f t="shared" si="6"/>
        <v>1.2182879775324217E-3</v>
      </c>
      <c r="K82" s="11">
        <f>PARAMETERS!$B$13*CALCULATIONS!J82/(CALCULATIONS!F82+CALCULATIONS!J82)</f>
        <v>4.5468454862235205E-3</v>
      </c>
      <c r="L82" s="11">
        <f t="shared" si="7"/>
        <v>1.4473058692150913E-3</v>
      </c>
      <c r="O82" s="3"/>
      <c r="P82" s="3"/>
      <c r="Q82" s="3"/>
      <c r="R82" s="3"/>
      <c r="S82" s="3"/>
      <c r="T82" s="3"/>
    </row>
    <row r="83" spans="1:20" x14ac:dyDescent="0.25">
      <c r="A83" s="1">
        <f>PARAMETERS!I84</f>
        <v>550</v>
      </c>
      <c r="B83" s="3">
        <f>PARAMETERS!J84</f>
        <v>5.8799999999999998E-2</v>
      </c>
      <c r="C83" s="3">
        <f>CHL*PARAMETERS!M84</f>
        <v>1.0164592841668334E-4</v>
      </c>
      <c r="D83" s="3">
        <f>NAP*PARAMETERS!$B$21*EXP(-PARAMETERS!$B$22*(A83-443))</f>
        <v>1.0995345717895052E-4</v>
      </c>
      <c r="E83" s="3">
        <f>CDOM*EXP(-PARAMETERS!$B$23*(CALCULATIONS!A83-443))</f>
        <v>1.5210259784712409E-4</v>
      </c>
      <c r="F83" s="10">
        <f t="shared" si="5"/>
        <v>5.9163701983442757E-2</v>
      </c>
      <c r="G83" s="3">
        <f>PARAMETERS!$B$16*PARAMETERS!$B$17*POWER(A83/500,PARAMETERS!$B$18)</f>
        <v>9.5399498613936613E-4</v>
      </c>
      <c r="H83" s="3">
        <f t="shared" si="4"/>
        <v>1.4664747062591966E-4</v>
      </c>
      <c r="I83" s="3">
        <f>PARAMETERS!$B$24*NAP*POWER(A83/555,PARAMETERS!$B$25)</f>
        <v>1.0200000000000001E-4</v>
      </c>
      <c r="J83" s="10">
        <f t="shared" si="6"/>
        <v>1.2026424567652858E-3</v>
      </c>
      <c r="K83" s="11">
        <f>PARAMETERS!$B$13*CALCULATIONS!J83/(CALCULATIONS!F83+CALCULATIONS!J83)</f>
        <v>4.3123176983972614E-3</v>
      </c>
      <c r="L83" s="11">
        <f t="shared" si="7"/>
        <v>1.3726533557651785E-3</v>
      </c>
      <c r="O83" s="3"/>
      <c r="P83" s="3"/>
      <c r="Q83" s="3"/>
      <c r="R83" s="3"/>
      <c r="S83" s="3"/>
      <c r="T83" s="3"/>
    </row>
    <row r="84" spans="1:20" x14ac:dyDescent="0.25">
      <c r="A84" s="1">
        <f>PARAMETERS!I85</f>
        <v>552</v>
      </c>
      <c r="B84" s="3">
        <f>PARAMETERS!J85</f>
        <v>6.1100000000000002E-2</v>
      </c>
      <c r="C84" s="3">
        <f>CHL*PARAMETERS!M85</f>
        <v>9.3070831144143691E-5</v>
      </c>
      <c r="D84" s="3">
        <f>NAP*PARAMETERS!$B$21*EXP(-PARAMETERS!$B$22*(A84-443))</f>
        <v>1.0728160070731239E-4</v>
      </c>
      <c r="E84" s="3">
        <f>CDOM*EXP(-PARAMETERS!$B$23*(CALCULATIONS!A84-443))</f>
        <v>1.4684172102679395E-4</v>
      </c>
      <c r="F84" s="10">
        <f t="shared" si="5"/>
        <v>6.1447194152878248E-2</v>
      </c>
      <c r="G84" s="3">
        <f>PARAMETERS!$B$16*PARAMETERS!$B$17*POWER(A84/500,PARAMETERS!$B$18)</f>
        <v>9.3915244834604807E-4</v>
      </c>
      <c r="H84" s="3">
        <f t="shared" si="4"/>
        <v>1.4613841652941825E-4</v>
      </c>
      <c r="I84" s="3">
        <f>PARAMETERS!$B$24*NAP*POWER(A84/555,PARAMETERS!$B$25)</f>
        <v>1.0200000000000001E-4</v>
      </c>
      <c r="J84" s="10">
        <f t="shared" si="6"/>
        <v>1.1872908648754665E-3</v>
      </c>
      <c r="K84" s="11">
        <f>PARAMETERS!$B$13*CALCULATIONS!J84/(CALCULATIONS!F84+CALCULATIONS!J84)</f>
        <v>4.1031057468773552E-3</v>
      </c>
      <c r="L84" s="11">
        <f t="shared" si="7"/>
        <v>1.3060591232885884E-3</v>
      </c>
      <c r="O84" s="3"/>
      <c r="P84" s="3"/>
      <c r="Q84" s="3"/>
      <c r="R84" s="3"/>
      <c r="S84" s="3"/>
      <c r="T84" s="3"/>
    </row>
    <row r="85" spans="1:20" x14ac:dyDescent="0.25">
      <c r="A85" s="1">
        <f>PARAMETERS!I86</f>
        <v>554</v>
      </c>
      <c r="B85" s="3">
        <f>PARAMETERS!J86</f>
        <v>6.3100000000000003E-2</v>
      </c>
      <c r="C85" s="3">
        <f>CHL*PARAMETERS!M86</f>
        <v>8.4983085766924537E-5</v>
      </c>
      <c r="D85" s="3">
        <f>NAP*PARAMETERS!$B$21*EXP(-PARAMETERS!$B$22*(A85-443))</f>
        <v>1.0467467004326768E-4</v>
      </c>
      <c r="E85" s="3">
        <f>CDOM*EXP(-PARAMETERS!$B$23*(CALCULATIONS!A85-443))</f>
        <v>1.4176280575945777E-4</v>
      </c>
      <c r="F85" s="10">
        <f t="shared" si="5"/>
        <v>6.3431420561569654E-2</v>
      </c>
      <c r="G85" s="3">
        <f>PARAMETERS!$B$16*PARAMETERS!$B$17*POWER(A85/500,PARAMETERS!$B$18)</f>
        <v>9.2459326842938313E-4</v>
      </c>
      <c r="H85" s="3">
        <f t="shared" si="4"/>
        <v>1.4563331250327301E-4</v>
      </c>
      <c r="I85" s="3">
        <f>PARAMETERS!$B$24*NAP*POWER(A85/555,PARAMETERS!$B$25)</f>
        <v>1.0200000000000001E-4</v>
      </c>
      <c r="J85" s="10">
        <f t="shared" si="6"/>
        <v>1.1722265809326563E-3</v>
      </c>
      <c r="K85" s="11">
        <f>PARAMETERS!$B$13*CALCULATIONS!J85/(CALCULATIONS!F85+CALCULATIONS!J85)</f>
        <v>3.9275671887975894E-3</v>
      </c>
      <c r="L85" s="11">
        <f t="shared" si="7"/>
        <v>1.2501834648453514E-3</v>
      </c>
      <c r="O85" s="3"/>
      <c r="P85" s="3"/>
      <c r="Q85" s="3"/>
      <c r="R85" s="3"/>
      <c r="S85" s="3"/>
      <c r="T85" s="3"/>
    </row>
    <row r="86" spans="1:20" x14ac:dyDescent="0.25">
      <c r="A86" s="1">
        <f>PARAMETERS!I87</f>
        <v>556</v>
      </c>
      <c r="B86" s="3">
        <f>PARAMETERS!J87</f>
        <v>6.4600000000000005E-2</v>
      </c>
      <c r="C86" s="3">
        <f>CHL*PARAMETERS!M87</f>
        <v>7.7003224700017878E-5</v>
      </c>
      <c r="D86" s="3">
        <f>NAP*PARAMETERS!$B$21*EXP(-PARAMETERS!$B$22*(A86-443))</f>
        <v>1.0213108749709528E-4</v>
      </c>
      <c r="E86" s="3">
        <f>CDOM*EXP(-PARAMETERS!$B$23*(CALCULATIONS!A86-443))</f>
        <v>1.3685955841614489E-4</v>
      </c>
      <c r="F86" s="10">
        <f t="shared" si="5"/>
        <v>6.4915993870613267E-2</v>
      </c>
      <c r="G86" s="3">
        <f>PARAMETERS!$B$16*PARAMETERS!$B$17*POWER(A86/500,PARAMETERS!$B$18)</f>
        <v>9.1031104298924695E-4</v>
      </c>
      <c r="H86" s="3">
        <f t="shared" si="4"/>
        <v>1.451321138015945E-4</v>
      </c>
      <c r="I86" s="3">
        <f>PARAMETERS!$B$24*NAP*POWER(A86/555,PARAMETERS!$B$25)</f>
        <v>1.0200000000000001E-4</v>
      </c>
      <c r="J86" s="10">
        <f t="shared" si="6"/>
        <v>1.1574431567908416E-3</v>
      </c>
      <c r="K86" s="11">
        <f>PARAMETERS!$B$13*CALCULATIONS!J86/(CALCULATIONS!F86+CALCULATIONS!J86)</f>
        <v>3.7917689641068313E-3</v>
      </c>
      <c r="L86" s="11">
        <f t="shared" si="7"/>
        <v>1.2069575474000754E-3</v>
      </c>
      <c r="O86" s="3"/>
      <c r="P86" s="3"/>
      <c r="Q86" s="3"/>
      <c r="R86" s="3"/>
      <c r="S86" s="3"/>
      <c r="T86" s="3"/>
    </row>
    <row r="87" spans="1:20" x14ac:dyDescent="0.25">
      <c r="A87" s="1">
        <f>PARAMETERS!I88</f>
        <v>558</v>
      </c>
      <c r="B87" s="3">
        <f>PARAMETERS!J88</f>
        <v>6.5799999999999997E-2</v>
      </c>
      <c r="C87" s="3">
        <f>CHL*PARAMETERS!M88</f>
        <v>6.9970238885939265E-5</v>
      </c>
      <c r="D87" s="3">
        <f>NAP*PARAMETERS!$B$21*EXP(-PARAMETERS!$B$22*(A87-443))</f>
        <v>9.9649313716754351E-5</v>
      </c>
      <c r="E87" s="3">
        <f>CDOM*EXP(-PARAMETERS!$B$23*(CALCULATIONS!A87-443))</f>
        <v>1.3212590304994409E-4</v>
      </c>
      <c r="F87" s="10">
        <f t="shared" si="5"/>
        <v>6.610174545565263E-2</v>
      </c>
      <c r="G87" s="3">
        <f>PARAMETERS!$B$16*PARAMETERS!$B$17*POWER(A87/500,PARAMETERS!$B$18)</f>
        <v>8.9629953563007949E-4</v>
      </c>
      <c r="H87" s="3">
        <f t="shared" si="4"/>
        <v>1.4463477634388879E-4</v>
      </c>
      <c r="I87" s="3">
        <f>PARAMETERS!$B$24*NAP*POWER(A87/555,PARAMETERS!$B$25)</f>
        <v>1.0200000000000001E-4</v>
      </c>
      <c r="J87" s="10">
        <f t="shared" si="6"/>
        <v>1.1429343119739683E-3</v>
      </c>
      <c r="K87" s="11">
        <f>PARAMETERS!$B$13*CALCULATIONS!J87/(CALCULATIONS!F87+CALCULATIONS!J87)</f>
        <v>3.6790224308508746E-3</v>
      </c>
      <c r="L87" s="11">
        <f t="shared" si="7"/>
        <v>1.1710692112317548E-3</v>
      </c>
      <c r="O87" s="3"/>
      <c r="P87" s="3"/>
      <c r="Q87" s="3"/>
      <c r="R87" s="3"/>
      <c r="S87" s="3"/>
      <c r="T87" s="3"/>
    </row>
    <row r="88" spans="1:20" x14ac:dyDescent="0.25">
      <c r="A88" s="1">
        <f>PARAMETERS!I89</f>
        <v>560</v>
      </c>
      <c r="B88" s="3">
        <f>PARAMETERS!J89</f>
        <v>6.7199999999999996E-2</v>
      </c>
      <c r="C88" s="3">
        <f>CHL*PARAMETERS!M89</f>
        <v>6.6740843245049756E-5</v>
      </c>
      <c r="D88" s="3">
        <f>NAP*PARAMETERS!$B$21*EXP(-PARAMETERS!$B$22*(A88-443))</f>
        <v>9.7227846756283169E-5</v>
      </c>
      <c r="E88" s="3">
        <f>CDOM*EXP(-PARAMETERS!$B$23*(CALCULATIONS!A88-443))</f>
        <v>1.275559738668852E-4</v>
      </c>
      <c r="F88" s="10">
        <f t="shared" si="5"/>
        <v>6.7491524663868221E-2</v>
      </c>
      <c r="G88" s="3">
        <f>PARAMETERS!$B$16*PARAMETERS!$B$17*POWER(A88/500,PARAMETERS!$B$18)</f>
        <v>8.8255267202787323E-4</v>
      </c>
      <c r="H88" s="3">
        <f t="shared" si="4"/>
        <v>1.4414125670282247E-4</v>
      </c>
      <c r="I88" s="3">
        <f>PARAMETERS!$B$24*NAP*POWER(A88/555,PARAMETERS!$B$25)</f>
        <v>1.0200000000000001E-4</v>
      </c>
      <c r="J88" s="10">
        <f t="shared" si="6"/>
        <v>1.1286939287306957E-3</v>
      </c>
      <c r="K88" s="11">
        <f>PARAMETERS!$B$13*CALCULATIONS!J88/(CALCULATIONS!F88+CALCULATIONS!J88)</f>
        <v>3.5603540418021411E-3</v>
      </c>
      <c r="L88" s="11">
        <f t="shared" si="7"/>
        <v>1.1332958898200387E-3</v>
      </c>
      <c r="O88" s="3"/>
      <c r="P88" s="3"/>
      <c r="Q88" s="3"/>
      <c r="R88" s="3"/>
      <c r="S88" s="3"/>
      <c r="T88" s="3"/>
    </row>
    <row r="89" spans="1:20" x14ac:dyDescent="0.25">
      <c r="A89" s="1">
        <f>PARAMETERS!I90</f>
        <v>562</v>
      </c>
      <c r="B89" s="3">
        <f>PARAMETERS!J90</f>
        <v>6.8599999999999994E-2</v>
      </c>
      <c r="C89" s="3">
        <f>CHL*PARAMETERS!M90</f>
        <v>6.2640037874724756E-5</v>
      </c>
      <c r="D89" s="3">
        <f>NAP*PARAMETERS!$B$21*EXP(-PARAMETERS!$B$22*(A89-443))</f>
        <v>9.4865221166835599E-5</v>
      </c>
      <c r="E89" s="3">
        <f>CDOM*EXP(-PARAMETERS!$B$23*(CALCULATIONS!A89-443))</f>
        <v>1.2314410795723514E-4</v>
      </c>
      <c r="F89" s="10">
        <f t="shared" si="5"/>
        <v>6.8880649366998781E-2</v>
      </c>
      <c r="G89" s="3">
        <f>PARAMETERS!$B$16*PARAMETERS!$B$17*POWER(A89/500,PARAMETERS!$B$18)</f>
        <v>8.6906453515980938E-4</v>
      </c>
      <c r="H89" s="3">
        <f t="shared" si="4"/>
        <v>1.4365151209225481E-4</v>
      </c>
      <c r="I89" s="3">
        <f>PARAMETERS!$B$24*NAP*POWER(A89/555,PARAMETERS!$B$25)</f>
        <v>1.0200000000000001E-4</v>
      </c>
      <c r="J89" s="10">
        <f t="shared" si="6"/>
        <v>1.1147160472520642E-3</v>
      </c>
      <c r="K89" s="11">
        <f>PARAMETERS!$B$13*CALCULATIONS!J89/(CALCULATIONS!F89+CALCULATIONS!J89)</f>
        <v>3.4471808039665168E-3</v>
      </c>
      <c r="L89" s="11">
        <f t="shared" si="7"/>
        <v>1.0972717293655301E-3</v>
      </c>
      <c r="O89" s="3"/>
      <c r="P89" s="3"/>
      <c r="Q89" s="3"/>
      <c r="R89" s="3"/>
      <c r="S89" s="3"/>
      <c r="T89" s="3"/>
    </row>
    <row r="90" spans="1:20" x14ac:dyDescent="0.25">
      <c r="A90" s="1">
        <f>PARAMETERS!I91</f>
        <v>564</v>
      </c>
      <c r="B90" s="3">
        <f>PARAMETERS!J91</f>
        <v>6.989999999999999E-2</v>
      </c>
      <c r="C90" s="3">
        <f>CHL*PARAMETERS!M91</f>
        <v>5.9686327238901264E-5</v>
      </c>
      <c r="D90" s="3">
        <f>NAP*PARAMETERS!$B$21*EXP(-PARAMETERS!$B$22*(A90-443))</f>
        <v>9.2560007109805306E-5</v>
      </c>
      <c r="E90" s="3">
        <f>CDOM*EXP(-PARAMETERS!$B$23*(CALCULATIONS!A90-443))</f>
        <v>1.1888483827820184E-4</v>
      </c>
      <c r="F90" s="10">
        <f t="shared" si="5"/>
        <v>7.0171131172626897E-2</v>
      </c>
      <c r="G90" s="3">
        <f>PARAMETERS!$B$16*PARAMETERS!$B$17*POWER(A90/500,PARAMETERS!$B$18)</f>
        <v>8.5582936069062419E-4</v>
      </c>
      <c r="H90" s="3">
        <f t="shared" si="4"/>
        <v>1.4316550035553148E-4</v>
      </c>
      <c r="I90" s="3">
        <f>PARAMETERS!$B$24*NAP*POWER(A90/555,PARAMETERS!$B$25)</f>
        <v>1.0200000000000001E-4</v>
      </c>
      <c r="J90" s="10">
        <f t="shared" si="6"/>
        <v>1.1009948610461557E-3</v>
      </c>
      <c r="K90" s="11">
        <f>PARAMETERS!$B$13*CALCULATIONS!J90/(CALCULATIONS!F90+CALCULATIONS!J90)</f>
        <v>3.3437567230810931E-3</v>
      </c>
      <c r="L90" s="11">
        <f t="shared" si="7"/>
        <v>1.0643508219502276E-3</v>
      </c>
      <c r="O90" s="3"/>
      <c r="P90" s="3"/>
      <c r="Q90" s="3"/>
      <c r="R90" s="3"/>
      <c r="S90" s="3"/>
      <c r="T90" s="3"/>
    </row>
    <row r="91" spans="1:20" x14ac:dyDescent="0.25">
      <c r="A91" s="1">
        <f>PARAMETERS!I92</f>
        <v>566</v>
      </c>
      <c r="B91" s="3">
        <f>PARAMETERS!J92</f>
        <v>7.1800000000000003E-2</v>
      </c>
      <c r="C91" s="3">
        <f>CHL*PARAMETERS!M92</f>
        <v>5.6801877316876848E-5</v>
      </c>
      <c r="D91" s="3">
        <f>NAP*PARAMETERS!$B$21*EXP(-PARAMETERS!$B$22*(A91-443))</f>
        <v>9.0310809491501128E-5</v>
      </c>
      <c r="E91" s="3">
        <f>CDOM*EXP(-PARAMETERS!$B$23*(CALCULATIONS!A91-443))</f>
        <v>1.147728868793499E-4</v>
      </c>
      <c r="F91" s="10">
        <f t="shared" si="5"/>
        <v>7.2061885573687728E-2</v>
      </c>
      <c r="G91" s="3">
        <f>PARAMETERS!$B$16*PARAMETERS!$B$17*POWER(A91/500,PARAMETERS!$B$18)</f>
        <v>8.4284153251002174E-4</v>
      </c>
      <c r="H91" s="3">
        <f t="shared" si="4"/>
        <v>1.4268317995403223E-4</v>
      </c>
      <c r="I91" s="3">
        <f>PARAMETERS!$B$24*NAP*POWER(A91/555,PARAMETERS!$B$25)</f>
        <v>1.0200000000000001E-4</v>
      </c>
      <c r="J91" s="10">
        <f t="shared" si="6"/>
        <v>1.087524712464054E-3</v>
      </c>
      <c r="K91" s="11">
        <f>PARAMETERS!$B$13*CALCULATIONS!J91/(CALCULATIONS!F91+CALCULATIONS!J91)</f>
        <v>3.2180841756119065E-3</v>
      </c>
      <c r="L91" s="11">
        <f t="shared" si="7"/>
        <v>1.0243480076688838E-3</v>
      </c>
      <c r="O91" s="3"/>
      <c r="P91" s="3"/>
      <c r="Q91" s="3"/>
      <c r="R91" s="3"/>
      <c r="S91" s="3"/>
      <c r="T91" s="3"/>
    </row>
    <row r="92" spans="1:20" x14ac:dyDescent="0.25">
      <c r="A92" s="1">
        <f>PARAMETERS!I93</f>
        <v>568</v>
      </c>
      <c r="B92" s="3">
        <f>PARAMETERS!J93</f>
        <v>7.3399999999999993E-2</v>
      </c>
      <c r="C92" s="3">
        <f>CHL*PARAMETERS!M93</f>
        <v>5.5769115911115464E-5</v>
      </c>
      <c r="D92" s="3">
        <f>NAP*PARAMETERS!$B$21*EXP(-PARAMETERS!$B$22*(A92-443))</f>
        <v>8.8116267118849441E-5</v>
      </c>
      <c r="E92" s="3">
        <f>CDOM*EXP(-PARAMETERS!$B$23*(CALCULATIONS!A92-443))</f>
        <v>1.1080315836233387E-4</v>
      </c>
      <c r="F92" s="10">
        <f t="shared" si="5"/>
        <v>7.3654688541392288E-2</v>
      </c>
      <c r="G92" s="3">
        <f>PARAMETERS!$B$16*PARAMETERS!$B$17*POWER(A92/500,PARAMETERS!$B$18)</f>
        <v>8.3009557841568545E-4</v>
      </c>
      <c r="H92" s="3">
        <f t="shared" si="4"/>
        <v>1.4220450995596629E-4</v>
      </c>
      <c r="I92" s="3">
        <f>PARAMETERS!$B$24*NAP*POWER(A92/555,PARAMETERS!$B$25)</f>
        <v>1.0200000000000001E-4</v>
      </c>
      <c r="J92" s="10">
        <f t="shared" si="6"/>
        <v>1.0743000883716518E-3</v>
      </c>
      <c r="K92" s="11">
        <f>PARAMETERS!$B$13*CALCULATIONS!J92/(CALCULATIONS!F92+CALCULATIONS!J92)</f>
        <v>3.1117564715978504E-3</v>
      </c>
      <c r="L92" s="11">
        <f t="shared" si="7"/>
        <v>9.9050284830598588E-4</v>
      </c>
      <c r="O92" s="3"/>
      <c r="P92" s="3"/>
      <c r="Q92" s="3"/>
      <c r="R92" s="3"/>
      <c r="S92" s="3"/>
      <c r="T92" s="3"/>
    </row>
    <row r="93" spans="1:20" x14ac:dyDescent="0.25">
      <c r="A93" s="1">
        <f>PARAMETERS!I94</f>
        <v>570</v>
      </c>
      <c r="B93" s="3">
        <f>PARAMETERS!J94</f>
        <v>7.5899999999999995E-2</v>
      </c>
      <c r="C93" s="3">
        <f>CHL*PARAMETERS!M94</f>
        <v>5.4234528590879966E-5</v>
      </c>
      <c r="D93" s="3">
        <f>NAP*PARAMETERS!$B$21*EXP(-PARAMETERS!$B$22*(A93-443))</f>
        <v>8.5975051875613183E-5</v>
      </c>
      <c r="E93" s="3">
        <f>CDOM*EXP(-PARAMETERS!$B$23*(CALCULATIONS!A93-443))</f>
        <v>1.0697073356684377E-4</v>
      </c>
      <c r="F93" s="10">
        <f t="shared" si="5"/>
        <v>7.6147180314033336E-2</v>
      </c>
      <c r="G93" s="3">
        <f>PARAMETERS!$B$16*PARAMETERS!$B$17*POWER(A93/500,PARAMETERS!$B$18)</f>
        <v>8.1758616593663165E-4</v>
      </c>
      <c r="H93" s="3">
        <f t="shared" si="4"/>
        <v>1.4172945002541006E-4</v>
      </c>
      <c r="I93" s="3">
        <f>PARAMETERS!$B$24*NAP*POWER(A93/555,PARAMETERS!$B$25)</f>
        <v>1.0200000000000001E-4</v>
      </c>
      <c r="J93" s="10">
        <f t="shared" si="6"/>
        <v>1.0613156159620417E-3</v>
      </c>
      <c r="K93" s="11">
        <f>PARAMETERS!$B$13*CALCULATIONS!J93/(CALCULATIONS!F93+CALCULATIONS!J93)</f>
        <v>2.9754219106803421E-3</v>
      </c>
      <c r="L93" s="11">
        <f t="shared" si="7"/>
        <v>9.4710620973741675E-4</v>
      </c>
      <c r="O93" s="3"/>
      <c r="P93" s="3"/>
      <c r="Q93" s="3"/>
      <c r="R93" s="3"/>
      <c r="S93" s="3"/>
      <c r="T93" s="3"/>
    </row>
    <row r="94" spans="1:20" x14ac:dyDescent="0.25">
      <c r="A94" s="1">
        <f>PARAMETERS!I95</f>
        <v>572</v>
      </c>
      <c r="B94" s="3">
        <f>PARAMETERS!J95</f>
        <v>7.8700000000000006E-2</v>
      </c>
      <c r="C94" s="3">
        <f>CHL*PARAMETERS!M95</f>
        <v>5.5753979312630805E-5</v>
      </c>
      <c r="D94" s="3">
        <f>NAP*PARAMETERS!$B$21*EXP(-PARAMETERS!$B$22*(A94-443))</f>
        <v>8.3885867918628352E-5</v>
      </c>
      <c r="E94" s="3">
        <f>CDOM*EXP(-PARAMETERS!$B$23*(CALCULATIONS!A94-443))</f>
        <v>1.0327086347493948E-4</v>
      </c>
      <c r="F94" s="10">
        <f t="shared" si="5"/>
        <v>7.8942910710706207E-2</v>
      </c>
      <c r="G94" s="3">
        <f>PARAMETERS!$B$16*PARAMETERS!$B$17*POWER(A94/500,PARAMETERS!$B$18)</f>
        <v>8.0530809829188605E-4</v>
      </c>
      <c r="H94" s="3">
        <f t="shared" si="4"/>
        <v>1.4125796041157993E-4</v>
      </c>
      <c r="I94" s="3">
        <f>PARAMETERS!$B$24*NAP*POWER(A94/555,PARAMETERS!$B$25)</f>
        <v>1.0200000000000001E-4</v>
      </c>
      <c r="J94" s="10">
        <f t="shared" si="6"/>
        <v>1.048566058703466E-3</v>
      </c>
      <c r="K94" s="11">
        <f>PARAMETERS!$B$13*CALCULATIONS!J94/(CALCULATIONS!F94+CALCULATIONS!J94)</f>
        <v>2.837403994460782E-3</v>
      </c>
      <c r="L94" s="11">
        <f t="shared" si="7"/>
        <v>9.0317374253424455E-4</v>
      </c>
      <c r="O94" s="3"/>
      <c r="P94" s="3"/>
      <c r="Q94" s="3"/>
      <c r="R94" s="3"/>
      <c r="S94" s="3"/>
      <c r="T94" s="3"/>
    </row>
    <row r="95" spans="1:20" x14ac:dyDescent="0.25">
      <c r="A95" s="1">
        <f>PARAMETERS!I96</f>
        <v>574</v>
      </c>
      <c r="B95" s="3">
        <f>PARAMETERS!J96</f>
        <v>8.1900000000000001E-2</v>
      </c>
      <c r="C95" s="3">
        <f>CHL*PARAMETERS!M96</f>
        <v>5.6494132428087408E-5</v>
      </c>
      <c r="D95" s="3">
        <f>NAP*PARAMETERS!$B$21*EXP(-PARAMETERS!$B$22*(A95-443))</f>
        <v>8.1847450893572063E-5</v>
      </c>
      <c r="E95" s="3">
        <f>CDOM*EXP(-PARAMETERS!$B$23*(CALCULATIONS!A95-443))</f>
        <v>9.9698963326219799E-5</v>
      </c>
      <c r="F95" s="10">
        <f t="shared" si="5"/>
        <v>8.2138040546647875E-2</v>
      </c>
      <c r="G95" s="3">
        <f>PARAMETERS!$B$16*PARAMETERS!$B$17*POWER(A95/500,PARAMETERS!$B$18)</f>
        <v>7.9325631047963386E-4</v>
      </c>
      <c r="H95" s="3">
        <f t="shared" si="4"/>
        <v>1.407900019383353E-4</v>
      </c>
      <c r="I95" s="3">
        <f>PARAMETERS!$B$24*NAP*POWER(A95/555,PARAMETERS!$B$25)</f>
        <v>1.0200000000000001E-4</v>
      </c>
      <c r="J95" s="10">
        <f t="shared" si="6"/>
        <v>1.0360463124179692E-3</v>
      </c>
      <c r="K95" s="11">
        <f>PARAMETERS!$B$13*CALCULATIONS!J95/(CALCULATIONS!F95+CALCULATIONS!J95)</f>
        <v>2.6962503985010593E-3</v>
      </c>
      <c r="L95" s="11">
        <f t="shared" si="7"/>
        <v>8.582431574698725E-4</v>
      </c>
      <c r="O95" s="3"/>
      <c r="P95" s="3"/>
      <c r="Q95" s="3"/>
      <c r="R95" s="3"/>
      <c r="S95" s="3"/>
      <c r="T95" s="3"/>
    </row>
    <row r="96" spans="1:20" x14ac:dyDescent="0.25">
      <c r="A96" s="1">
        <f>PARAMETERS!I97</f>
        <v>576</v>
      </c>
      <c r="B96" s="3">
        <f>PARAMETERS!J97</f>
        <v>8.5800000000000001E-2</v>
      </c>
      <c r="C96" s="3">
        <f>CHL*PARAMETERS!M97</f>
        <v>5.7544436766838642E-5</v>
      </c>
      <c r="D96" s="3">
        <f>NAP*PARAMETERS!$B$21*EXP(-PARAMETERS!$B$22*(A96-443))</f>
        <v>7.9858567169787312E-5</v>
      </c>
      <c r="E96" s="3">
        <f>CDOM*EXP(-PARAMETERS!$B$23*(CALCULATIONS!A96-443))</f>
        <v>9.6250606936534527E-5</v>
      </c>
      <c r="F96" s="10">
        <f t="shared" si="5"/>
        <v>8.6033653610873159E-2</v>
      </c>
      <c r="G96" s="3">
        <f>PARAMETERS!$B$16*PARAMETERS!$B$17*POWER(A96/500,PARAMETERS!$B$18)</f>
        <v>7.8142586549220273E-4</v>
      </c>
      <c r="H96" s="3">
        <f t="shared" si="4"/>
        <v>1.4032553599390546E-4</v>
      </c>
      <c r="I96" s="3">
        <f>PARAMETERS!$B$24*NAP*POWER(A96/555,PARAMETERS!$B$25)</f>
        <v>1.0200000000000001E-4</v>
      </c>
      <c r="J96" s="10">
        <f t="shared" si="6"/>
        <v>1.0237514014861083E-3</v>
      </c>
      <c r="K96" s="11">
        <f>PARAMETERS!$B$13*CALCULATIONS!J96/(CALCULATIONS!F96+CALCULATIONS!J96)</f>
        <v>2.5454108221936935E-3</v>
      </c>
      <c r="L96" s="11">
        <f t="shared" si="7"/>
        <v>8.1022942910346368E-4</v>
      </c>
      <c r="O96" s="3"/>
      <c r="P96" s="3"/>
      <c r="Q96" s="3"/>
      <c r="R96" s="3"/>
      <c r="S96" s="3"/>
      <c r="T96" s="3"/>
    </row>
    <row r="97" spans="1:20" x14ac:dyDescent="0.25">
      <c r="A97" s="1">
        <f>PARAMETERS!I98</f>
        <v>578</v>
      </c>
      <c r="B97" s="3">
        <f>PARAMETERS!J98</f>
        <v>8.9599999999999999E-2</v>
      </c>
      <c r="C97" s="3">
        <f>CHL*PARAMETERS!M98</f>
        <v>5.9156618862818407E-5</v>
      </c>
      <c r="D97" s="3">
        <f>NAP*PARAMETERS!$B$21*EXP(-PARAMETERS!$B$22*(A97-443))</f>
        <v>7.7918013093701438E-5</v>
      </c>
      <c r="E97" s="3">
        <f>CDOM*EXP(-PARAMETERS!$B$23*(CALCULATIONS!A97-443))</f>
        <v>9.2921521213198862E-5</v>
      </c>
      <c r="F97" s="10">
        <f t="shared" si="5"/>
        <v>8.9829996153169708E-2</v>
      </c>
      <c r="G97" s="3">
        <f>PARAMETERS!$B$16*PARAMETERS!$B$17*POWER(A97/500,PARAMETERS!$B$18)</f>
        <v>7.6981195065240512E-4</v>
      </c>
      <c r="H97" s="3">
        <f t="shared" si="4"/>
        <v>1.3986452452083507E-4</v>
      </c>
      <c r="I97" s="3">
        <f>PARAMETERS!$B$24*NAP*POWER(A97/555,PARAMETERS!$B$25)</f>
        <v>1.0200000000000001E-4</v>
      </c>
      <c r="J97" s="10">
        <f t="shared" si="6"/>
        <v>1.0116764751732401E-3</v>
      </c>
      <c r="K97" s="11">
        <f>PARAMETERS!$B$13*CALCULATIONS!J97/(CALCULATIONS!F97+CALCULATIONS!J97)</f>
        <v>2.4106026177044644E-3</v>
      </c>
      <c r="L97" s="11">
        <f t="shared" si="7"/>
        <v>7.6731864487585596E-4</v>
      </c>
      <c r="O97" s="3"/>
      <c r="P97" s="3"/>
      <c r="Q97" s="3"/>
      <c r="R97" s="3"/>
      <c r="S97" s="3"/>
      <c r="T97" s="3"/>
    </row>
    <row r="98" spans="1:20" x14ac:dyDescent="0.25">
      <c r="A98" s="1">
        <f>PARAMETERS!I99</f>
        <v>580</v>
      </c>
      <c r="B98" s="3">
        <f>PARAMETERS!J99</f>
        <v>9.5200000000000007E-2</v>
      </c>
      <c r="C98" s="3">
        <f>CHL*PARAMETERS!M99</f>
        <v>6.2269570411795065E-5</v>
      </c>
      <c r="D98" s="3">
        <f>NAP*PARAMETERS!$B$21*EXP(-PARAMETERS!$B$22*(A98-443))</f>
        <v>7.6024614260386279E-5</v>
      </c>
      <c r="E98" s="3">
        <f>CDOM*EXP(-PARAMETERS!$B$23*(CALCULATIONS!A98-443))</f>
        <v>8.9707580859914001E-5</v>
      </c>
      <c r="F98" s="10">
        <f t="shared" si="5"/>
        <v>9.5428001765532094E-2</v>
      </c>
      <c r="G98" s="3">
        <f>PARAMETERS!$B$16*PARAMETERS!$B$17*POWER(A98/500,PARAMETERS!$B$18)</f>
        <v>7.5840987406695177E-4</v>
      </c>
      <c r="H98" s="3">
        <f t="shared" si="4"/>
        <v>1.3940693000614288E-4</v>
      </c>
      <c r="I98" s="3">
        <f>PARAMETERS!$B$24*NAP*POWER(A98/555,PARAMETERS!$B$25)</f>
        <v>1.0200000000000001E-4</v>
      </c>
      <c r="J98" s="10">
        <f t="shared" si="6"/>
        <v>9.9981680407309472E-4</v>
      </c>
      <c r="K98" s="11">
        <f>PARAMETERS!$B$13*CALCULATIONS!J98/(CALCULATIONS!F98+CALCULATIONS!J98)</f>
        <v>2.2443324264079063E-3</v>
      </c>
      <c r="L98" s="11">
        <f t="shared" si="7"/>
        <v>7.1439319920849141E-4</v>
      </c>
      <c r="O98" s="3"/>
      <c r="P98" s="3"/>
      <c r="Q98" s="3"/>
      <c r="R98" s="3"/>
      <c r="S98" s="3"/>
      <c r="T98" s="3"/>
    </row>
    <row r="99" spans="1:20" x14ac:dyDescent="0.25">
      <c r="A99" s="1">
        <f>PARAMETERS!I100</f>
        <v>582</v>
      </c>
      <c r="B99" s="3">
        <f>PARAMETERS!J100</f>
        <v>0.1</v>
      </c>
      <c r="C99" s="3">
        <f>CHL*PARAMETERS!M100</f>
        <v>6.4922279469340301E-5</v>
      </c>
      <c r="D99" s="3">
        <f>NAP*PARAMETERS!$B$21*EXP(-PARAMETERS!$B$22*(A99-443))</f>
        <v>7.4177224802819566E-5</v>
      </c>
      <c r="E99" s="3">
        <f>CDOM*EXP(-PARAMETERS!$B$23*(CALCULATIONS!A99-443))</f>
        <v>8.6604803264832023E-5</v>
      </c>
      <c r="F99" s="10">
        <f t="shared" si="5"/>
        <v>0.10022570430753701</v>
      </c>
      <c r="G99" s="3">
        <f>PARAMETERS!$B$16*PARAMETERS!$B$17*POWER(A99/500,PARAMETERS!$B$18)</f>
        <v>7.472150611928035E-4</v>
      </c>
      <c r="H99" s="3">
        <f t="shared" si="4"/>
        <v>1.3895271547168832E-4</v>
      </c>
      <c r="I99" s="3">
        <f>PARAMETERS!$B$24*NAP*POWER(A99/555,PARAMETERS!$B$25)</f>
        <v>1.0200000000000001E-4</v>
      </c>
      <c r="J99" s="10">
        <f t="shared" si="6"/>
        <v>9.8816777666449192E-4</v>
      </c>
      <c r="K99" s="11">
        <f>PARAMETERS!$B$13*CALCULATIONS!J99/(CALCULATIONS!F99+CALCULATIONS!J99)</f>
        <v>2.1132931370261066E-3</v>
      </c>
      <c r="L99" s="11">
        <f t="shared" si="7"/>
        <v>6.7268209791976601E-4</v>
      </c>
      <c r="O99" s="3"/>
      <c r="P99" s="3"/>
      <c r="Q99" s="3"/>
      <c r="R99" s="3"/>
      <c r="S99" s="3"/>
      <c r="T99" s="3"/>
    </row>
    <row r="100" spans="1:20" x14ac:dyDescent="0.25">
      <c r="A100" s="1">
        <f>PARAMETERS!I101</f>
        <v>584</v>
      </c>
      <c r="B100" s="3">
        <f>PARAMETERS!J101</f>
        <v>0.10790000000000001</v>
      </c>
      <c r="C100" s="3">
        <f>CHL*PARAMETERS!M101</f>
        <v>6.9240897648679191E-5</v>
      </c>
      <c r="D100" s="3">
        <f>NAP*PARAMETERS!$B$21*EXP(-PARAMETERS!$B$22*(A100-443))</f>
        <v>7.2374726698416959E-5</v>
      </c>
      <c r="E100" s="3">
        <f>CDOM*EXP(-PARAMETERS!$B$23*(CALCULATIONS!A100-443))</f>
        <v>8.3609343565431332E-5</v>
      </c>
      <c r="F100" s="10">
        <f t="shared" si="5"/>
        <v>0.10812522496791253</v>
      </c>
      <c r="G100" s="3">
        <f>PARAMETERS!$B$16*PARAMETERS!$B$17*POWER(A100/500,PARAMETERS!$B$18)</f>
        <v>7.362230515124944E-4</v>
      </c>
      <c r="H100" s="3">
        <f t="shared" si="4"/>
        <v>1.3850184446474091E-4</v>
      </c>
      <c r="I100" s="3">
        <f>PARAMETERS!$B$24*NAP*POWER(A100/555,PARAMETERS!$B$25)</f>
        <v>1.0200000000000001E-4</v>
      </c>
      <c r="J100" s="10">
        <f t="shared" si="6"/>
        <v>9.7672489597723532E-4</v>
      </c>
      <c r="K100" s="11">
        <f>PARAMETERS!$B$13*CALCULATIONS!J100/(CALCULATIONS!F100+CALCULATIONS!J100)</f>
        <v>1.9377995019779169E-3</v>
      </c>
      <c r="L100" s="11">
        <f t="shared" si="7"/>
        <v>6.16820738921597E-4</v>
      </c>
      <c r="O100" s="3"/>
      <c r="P100" s="3"/>
      <c r="Q100" s="3"/>
      <c r="R100" s="3"/>
      <c r="S100" s="3"/>
      <c r="T100" s="3"/>
    </row>
    <row r="101" spans="1:20" x14ac:dyDescent="0.25">
      <c r="A101" s="1">
        <f>PARAMETERS!I102</f>
        <v>586</v>
      </c>
      <c r="B101" s="3">
        <f>PARAMETERS!J102</f>
        <v>0.1159</v>
      </c>
      <c r="C101" s="3">
        <f>CHL*PARAMETERS!M102</f>
        <v>7.1180771279749221E-5</v>
      </c>
      <c r="D101" s="3">
        <f>NAP*PARAMETERS!$B$21*EXP(-PARAMETERS!$B$22*(A101-443))</f>
        <v>7.0616029092415464E-5</v>
      </c>
      <c r="E101" s="3">
        <f>CDOM*EXP(-PARAMETERS!$B$23*(CALCULATIONS!A101-443))</f>
        <v>8.0717489884085967E-5</v>
      </c>
      <c r="F101" s="10">
        <f t="shared" si="5"/>
        <v>0.11612251429025626</v>
      </c>
      <c r="G101" s="3">
        <f>PARAMETERS!$B$16*PARAMETERS!$B$17*POWER(A101/500,PARAMETERS!$B$18)</f>
        <v>7.2542949531461092E-4</v>
      </c>
      <c r="H101" s="3">
        <f t="shared" si="4"/>
        <v>1.3805428104874778E-4</v>
      </c>
      <c r="I101" s="3">
        <f>PARAMETERS!$B$24*NAP*POWER(A101/555,PARAMETERS!$B$25)</f>
        <v>1.0200000000000001E-4</v>
      </c>
      <c r="J101" s="10">
        <f t="shared" si="6"/>
        <v>9.6548377636335875E-4</v>
      </c>
      <c r="K101" s="11">
        <f>PARAMETERS!$B$13*CALCULATIONS!J101/(CALCULATIONS!F101+CALCULATIONS!J101)</f>
        <v>1.7848498801477544E-3</v>
      </c>
      <c r="L101" s="11">
        <f t="shared" si="7"/>
        <v>5.681353622049841E-4</v>
      </c>
      <c r="O101" s="3"/>
      <c r="P101" s="3"/>
      <c r="Q101" s="3"/>
      <c r="R101" s="3"/>
      <c r="S101" s="3"/>
      <c r="T101" s="3"/>
    </row>
    <row r="102" spans="1:20" x14ac:dyDescent="0.25">
      <c r="A102" s="1">
        <f>PARAMETERS!I103</f>
        <v>588</v>
      </c>
      <c r="B102" s="3">
        <f>PARAMETERS!J103</f>
        <v>0.12529999999999999</v>
      </c>
      <c r="C102" s="3">
        <f>CHL*PARAMETERS!M103</f>
        <v>7.5541921425132619E-5</v>
      </c>
      <c r="D102" s="3">
        <f>NAP*PARAMETERS!$B$21*EXP(-PARAMETERS!$B$22*(A102-443))</f>
        <v>6.8900067637698428E-5</v>
      </c>
      <c r="E102" s="3">
        <f>CDOM*EXP(-PARAMETERS!$B$23*(CALCULATIONS!A102-443))</f>
        <v>7.7925658728425997E-5</v>
      </c>
      <c r="F102" s="10">
        <f t="shared" si="5"/>
        <v>0.12552236764779129</v>
      </c>
      <c r="G102" s="3">
        <f>PARAMETERS!$B$16*PARAMETERS!$B$17*POWER(A102/500,PARAMETERS!$B$18)</f>
        <v>7.1483015057575516E-4</v>
      </c>
      <c r="H102" s="3">
        <f t="shared" si="4"/>
        <v>1.3760998979429393E-4</v>
      </c>
      <c r="I102" s="3">
        <f>PARAMETERS!$B$24*NAP*POWER(A102/555,PARAMETERS!$B$25)</f>
        <v>1.0200000000000001E-4</v>
      </c>
      <c r="J102" s="10">
        <f t="shared" si="6"/>
        <v>9.5444014037004911E-4</v>
      </c>
      <c r="K102" s="11">
        <f>PARAMETERS!$B$13*CALCULATIONS!J102/(CALCULATIONS!F102+CALCULATIONS!J102)</f>
        <v>1.6334539477693506E-3</v>
      </c>
      <c r="L102" s="11">
        <f t="shared" si="7"/>
        <v>5.199445402009256E-4</v>
      </c>
      <c r="O102" s="3"/>
      <c r="P102" s="3"/>
      <c r="Q102" s="3"/>
      <c r="R102" s="3"/>
      <c r="S102" s="3"/>
      <c r="T102" s="3"/>
    </row>
    <row r="103" spans="1:20" x14ac:dyDescent="0.25">
      <c r="A103" s="1">
        <f>PARAMETERS!I104</f>
        <v>590</v>
      </c>
      <c r="B103" s="3">
        <f>PARAMETERS!J104</f>
        <v>0.1356</v>
      </c>
      <c r="C103" s="3">
        <f>CHL*PARAMETERS!M104</f>
        <v>7.8376890064066622E-5</v>
      </c>
      <c r="D103" s="3">
        <f>NAP*PARAMETERS!$B$21*EXP(-PARAMETERS!$B$22*(A103-443))</f>
        <v>6.7225803850662799E-5</v>
      </c>
      <c r="E103" s="3">
        <f>CDOM*EXP(-PARAMETERS!$B$23*(CALCULATIONS!A103-443))</f>
        <v>7.5230390550788564E-5</v>
      </c>
      <c r="F103" s="10">
        <f t="shared" si="5"/>
        <v>0.13582083308446552</v>
      </c>
      <c r="G103" s="3">
        <f>PARAMETERS!$B$16*PARAMETERS!$B$17*POWER(A103/500,PARAMETERS!$B$18)</f>
        <v>7.0442087994046162E-4</v>
      </c>
      <c r="H103" s="3">
        <f t="shared" si="4"/>
        <v>1.3716893577025104E-4</v>
      </c>
      <c r="I103" s="3">
        <f>PARAMETERS!$B$24*NAP*POWER(A103/555,PARAMETERS!$B$25)</f>
        <v>1.0200000000000001E-4</v>
      </c>
      <c r="J103" s="10">
        <f t="shared" si="6"/>
        <v>9.4358981571071262E-4</v>
      </c>
      <c r="K103" s="11">
        <f>PARAMETERS!$B$13*CALCULATIONS!J103/(CALCULATIONS!F103+CALCULATIONS!J103)</f>
        <v>1.4934105059285743E-3</v>
      </c>
      <c r="L103" s="11">
        <f t="shared" si="7"/>
        <v>4.7536732816780178E-4</v>
      </c>
      <c r="O103" s="3"/>
      <c r="P103" s="3"/>
      <c r="Q103" s="3"/>
      <c r="R103" s="3"/>
      <c r="S103" s="3"/>
      <c r="T103" s="3"/>
    </row>
    <row r="104" spans="1:20" x14ac:dyDescent="0.25">
      <c r="A104" s="1">
        <f>PARAMETERS!I105</f>
        <v>592</v>
      </c>
      <c r="B104" s="3">
        <f>PARAMETERS!J105</f>
        <v>0.1459</v>
      </c>
      <c r="C104" s="3">
        <f>CHL*PARAMETERS!M105</f>
        <v>8.2770362202501318E-5</v>
      </c>
      <c r="D104" s="3">
        <f>NAP*PARAMETERS!$B$21*EXP(-PARAMETERS!$B$22*(A104-443))</f>
        <v>6.5592224482738596E-5</v>
      </c>
      <c r="E104" s="3">
        <f>CDOM*EXP(-PARAMETERS!$B$23*(CALCULATIONS!A104-443))</f>
        <v>7.262834546125747E-5</v>
      </c>
      <c r="F104" s="10">
        <f t="shared" si="5"/>
        <v>0.14612099093214651</v>
      </c>
      <c r="G104" s="3">
        <f>PARAMETERS!$B$16*PARAMETERS!$B$17*POWER(A104/500,PARAMETERS!$B$18)</f>
        <v>6.9419764779567368E-4</v>
      </c>
      <c r="H104" s="3">
        <f t="shared" si="4"/>
        <v>1.3673108453511024E-4</v>
      </c>
      <c r="I104" s="3">
        <f>PARAMETERS!$B$24*NAP*POWER(A104/555,PARAMETERS!$B$25)</f>
        <v>1.0200000000000001E-4</v>
      </c>
      <c r="J104" s="10">
        <f t="shared" si="6"/>
        <v>9.3292873233078387E-4</v>
      </c>
      <c r="K104" s="11">
        <f>PARAMETERS!$B$13*CALCULATIONS!J104/(CALCULATIONS!F104+CALCULATIONS!J104)</f>
        <v>1.3732226507846843E-3</v>
      </c>
      <c r="L104" s="11">
        <f t="shared" si="7"/>
        <v>4.3711034567627617E-4</v>
      </c>
      <c r="O104" s="3"/>
      <c r="P104" s="3"/>
      <c r="Q104" s="3"/>
      <c r="R104" s="3"/>
      <c r="S104" s="3"/>
      <c r="T104" s="3"/>
    </row>
    <row r="105" spans="1:20" x14ac:dyDescent="0.25">
      <c r="A105" s="1">
        <f>PARAMETERS!I106</f>
        <v>594</v>
      </c>
      <c r="B105" s="3">
        <f>PARAMETERS!J106</f>
        <v>0.15670000000000001</v>
      </c>
      <c r="C105" s="3">
        <f>CHL*PARAMETERS!M106</f>
        <v>8.3982350788132913E-5</v>
      </c>
      <c r="D105" s="3">
        <f>NAP*PARAMETERS!$B$21*EXP(-PARAMETERS!$B$22*(A105-443))</f>
        <v>6.3998340907180611E-5</v>
      </c>
      <c r="E105" s="3">
        <f>CDOM*EXP(-PARAMETERS!$B$23*(CALCULATIONS!A105-443))</f>
        <v>7.0116299088978604E-5</v>
      </c>
      <c r="F105" s="10">
        <f t="shared" si="5"/>
        <v>0.15691809699078429</v>
      </c>
      <c r="G105" s="3">
        <f>PARAMETERS!$B$16*PARAMETERS!$B$17*POWER(A105/500,PARAMETERS!$B$18)</f>
        <v>6.8415651743651096E-4</v>
      </c>
      <c r="H105" s="3">
        <f t="shared" si="4"/>
        <v>1.3629640212849432E-4</v>
      </c>
      <c r="I105" s="3">
        <f>PARAMETERS!$B$24*NAP*POWER(A105/555,PARAMETERS!$B$25)</f>
        <v>1.0200000000000001E-4</v>
      </c>
      <c r="J105" s="10">
        <f t="shared" si="6"/>
        <v>9.2245291956500523E-4</v>
      </c>
      <c r="K105" s="11">
        <f>PARAMETERS!$B$13*CALCULATIONS!J105/(CALCULATIONS!F105+CALCULATIONS!J105)</f>
        <v>1.2650122148182706E-3</v>
      </c>
      <c r="L105" s="11">
        <f t="shared" si="7"/>
        <v>4.0266589411990872E-4</v>
      </c>
      <c r="O105" s="3"/>
      <c r="P105" s="3"/>
      <c r="Q105" s="3"/>
      <c r="R105" s="3"/>
      <c r="S105" s="3"/>
      <c r="T105" s="3"/>
    </row>
    <row r="106" spans="1:20" x14ac:dyDescent="0.25">
      <c r="A106" s="1">
        <f>PARAMETERS!I107</f>
        <v>596</v>
      </c>
      <c r="B106" s="3">
        <f>PARAMETERS!J107</f>
        <v>0.17</v>
      </c>
      <c r="C106" s="3">
        <f>CHL*PARAMETERS!M107</f>
        <v>8.5938551036760481E-5</v>
      </c>
      <c r="D106" s="3">
        <f>NAP*PARAMETERS!$B$21*EXP(-PARAMETERS!$B$22*(A106-443))</f>
        <v>6.2443188520760768E-5</v>
      </c>
      <c r="E106" s="3">
        <f>CDOM*EXP(-PARAMETERS!$B$23*(CALCULATIONS!A106-443))</f>
        <v>6.7691138586622863E-5</v>
      </c>
      <c r="F106" s="10">
        <f t="shared" si="5"/>
        <v>0.17021607287814414</v>
      </c>
      <c r="G106" s="3">
        <f>PARAMETERS!$B$16*PARAMETERS!$B$17*POWER(A106/500,PARAMETERS!$B$18)</f>
        <v>6.7429364832018233E-4</v>
      </c>
      <c r="H106" s="3">
        <f t="shared" si="4"/>
        <v>1.3586485506284475E-4</v>
      </c>
      <c r="I106" s="3">
        <f>PARAMETERS!$B$24*NAP*POWER(A106/555,PARAMETERS!$B$25)</f>
        <v>1.0200000000000001E-4</v>
      </c>
      <c r="J106" s="10">
        <f t="shared" si="6"/>
        <v>9.1215850338302704E-4</v>
      </c>
      <c r="K106" s="11">
        <f>PARAMETERS!$B$13*CALCULATIONS!J106/(CALCULATIONS!F106+CALCULATIONS!J106)</f>
        <v>1.1537660187756285E-3</v>
      </c>
      <c r="L106" s="11">
        <f t="shared" si="7"/>
        <v>3.6725513011919562E-4</v>
      </c>
      <c r="O106" s="3"/>
      <c r="P106" s="3"/>
      <c r="Q106" s="3"/>
      <c r="R106" s="3"/>
      <c r="S106" s="3"/>
      <c r="T106" s="3"/>
    </row>
    <row r="107" spans="1:20" x14ac:dyDescent="0.25">
      <c r="A107" s="1">
        <f>PARAMETERS!I108</f>
        <v>598</v>
      </c>
      <c r="B107" s="3">
        <f>PARAMETERS!J108</f>
        <v>0.186</v>
      </c>
      <c r="C107" s="3">
        <f>CHL*PARAMETERS!M108</f>
        <v>8.5184914040186465E-5</v>
      </c>
      <c r="D107" s="3">
        <f>NAP*PARAMETERS!$B$21*EXP(-PARAMETERS!$B$22*(A107-443))</f>
        <v>6.0925826159999499E-5</v>
      </c>
      <c r="E107" s="3">
        <f>CDOM*EXP(-PARAMETERS!$B$23*(CALCULATIONS!A107-443))</f>
        <v>6.534985877304565E-5</v>
      </c>
      <c r="F107" s="10">
        <f t="shared" si="5"/>
        <v>0.18621146059897323</v>
      </c>
      <c r="G107" s="3">
        <f>PARAMETERS!$B$16*PARAMETERS!$B$17*POWER(A107/500,PARAMETERS!$B$18)</f>
        <v>6.6460529340502377E-4</v>
      </c>
      <c r="H107" s="3">
        <f t="shared" si="4"/>
        <v>1.3543641031528013E-4</v>
      </c>
      <c r="I107" s="3">
        <f>PARAMETERS!$B$24*NAP*POWER(A107/555,PARAMETERS!$B$25)</f>
        <v>1.0200000000000001E-4</v>
      </c>
      <c r="J107" s="10">
        <f t="shared" si="6"/>
        <v>9.0204170372030384E-4</v>
      </c>
      <c r="K107" s="11">
        <f>PARAMETERS!$B$13*CALCULATIONS!J107/(CALCULATIONS!F107+CALCULATIONS!J107)</f>
        <v>1.0434955068624088E-3</v>
      </c>
      <c r="L107" s="11">
        <f t="shared" si="7"/>
        <v>3.3215493602267032E-4</v>
      </c>
      <c r="O107" s="3"/>
      <c r="P107" s="3"/>
      <c r="Q107" s="3"/>
      <c r="R107" s="3"/>
      <c r="S107" s="3"/>
      <c r="T107" s="3"/>
    </row>
    <row r="108" spans="1:20" x14ac:dyDescent="0.25">
      <c r="A108" s="1">
        <f>PARAMETERS!I109</f>
        <v>600</v>
      </c>
      <c r="B108" s="3">
        <f>PARAMETERS!J109</f>
        <v>0.22239999999999999</v>
      </c>
      <c r="C108" s="3">
        <f>CHL*PARAMETERS!M109</f>
        <v>8.2488567144855927E-5</v>
      </c>
      <c r="D108" s="3">
        <f>NAP*PARAMETERS!$B$21*EXP(-PARAMETERS!$B$22*(A108-443))</f>
        <v>5.9445335531582408E-5</v>
      </c>
      <c r="E108" s="3">
        <f>CDOM*EXP(-PARAMETERS!$B$23*(CALCULATIONS!A108-443))</f>
        <v>6.3089558409362755E-5</v>
      </c>
      <c r="F108" s="10">
        <f t="shared" si="5"/>
        <v>0.22260502346108579</v>
      </c>
      <c r="G108" s="3">
        <f>PARAMETERS!$B$16*PARAMETERS!$B$17*POWER(A108/500,PARAMETERS!$B$18)</f>
        <v>6.5508779657174178E-4</v>
      </c>
      <c r="H108" s="3">
        <f t="shared" si="4"/>
        <v>1.3501103531962086E-4</v>
      </c>
      <c r="I108" s="3">
        <f>PARAMETERS!$B$24*NAP*POWER(A108/555,PARAMETERS!$B$25)</f>
        <v>1.0200000000000001E-4</v>
      </c>
      <c r="J108" s="10">
        <f t="shared" si="6"/>
        <v>8.9209883189136257E-4</v>
      </c>
      <c r="K108" s="11">
        <f>PARAMETERS!$B$13*CALCULATIONS!J108/(CALCULATIONS!F108+CALCULATIONS!J108)</f>
        <v>8.6399281264519002E-4</v>
      </c>
      <c r="L108" s="11">
        <f t="shared" si="7"/>
        <v>2.7501745385670364E-4</v>
      </c>
      <c r="O108" s="3"/>
      <c r="P108" s="3"/>
      <c r="Q108" s="3"/>
      <c r="R108" s="3"/>
      <c r="S108" s="3"/>
      <c r="T108" s="3"/>
    </row>
    <row r="109" spans="1:20" x14ac:dyDescent="0.25">
      <c r="A109" s="1">
        <f>PARAMETERS!I110</f>
        <v>602</v>
      </c>
      <c r="B109" s="3">
        <f>PARAMETERS!J110</f>
        <v>0.2366</v>
      </c>
      <c r="C109" s="3">
        <f>CHL*PARAMETERS!M110</f>
        <v>8.0982981117128178E-5</v>
      </c>
      <c r="D109" s="3">
        <f>NAP*PARAMETERS!$B$21*EXP(-PARAMETERS!$B$22*(A109-443))</f>
        <v>5.8000820656617966E-5</v>
      </c>
      <c r="E109" s="3">
        <f>CDOM*EXP(-PARAMETERS!$B$23*(CALCULATIONS!A109-443))</f>
        <v>6.0907436603828088E-5</v>
      </c>
      <c r="F109" s="10">
        <f t="shared" si="5"/>
        <v>0.23679989123837761</v>
      </c>
      <c r="G109" s="3">
        <f>PARAMETERS!$B$16*PARAMETERS!$B$17*POWER(A109/500,PARAMETERS!$B$18)</f>
        <v>6.4573759012406784E-4</v>
      </c>
      <c r="H109" s="3">
        <f t="shared" si="4"/>
        <v>1.3458869795857746E-4</v>
      </c>
      <c r="I109" s="3">
        <f>PARAMETERS!$B$24*NAP*POWER(A109/555,PARAMETERS!$B$25)</f>
        <v>1.0200000000000001E-4</v>
      </c>
      <c r="J109" s="10">
        <f t="shared" si="6"/>
        <v>8.8232628808264531E-4</v>
      </c>
      <c r="K109" s="11">
        <f>PARAMETERS!$B$13*CALCULATIONS!J109/(CALCULATIONS!F109+CALCULATIONS!J109)</f>
        <v>8.0352912453464961E-4</v>
      </c>
      <c r="L109" s="11">
        <f t="shared" si="7"/>
        <v>2.557712641759853E-4</v>
      </c>
      <c r="O109" s="3"/>
      <c r="P109" s="3"/>
      <c r="Q109" s="3"/>
      <c r="R109" s="3"/>
      <c r="S109" s="3"/>
      <c r="T109" s="3"/>
    </row>
    <row r="110" spans="1:20" x14ac:dyDescent="0.25">
      <c r="A110" s="1">
        <f>PARAMETERS!I111</f>
        <v>604</v>
      </c>
      <c r="B110" s="3">
        <f>PARAMETERS!J111</f>
        <v>0.24480000000000002</v>
      </c>
      <c r="C110" s="3">
        <f>CHL*PARAMETERS!M111</f>
        <v>8.172646032578538E-5</v>
      </c>
      <c r="D110" s="3">
        <f>NAP*PARAMETERS!$B$21*EXP(-PARAMETERS!$B$22*(A110-443))</f>
        <v>5.6591407328399533E-5</v>
      </c>
      <c r="E110" s="3">
        <f>CDOM*EXP(-PARAMETERS!$B$23*(CALCULATIONS!A110-443))</f>
        <v>5.8800789341058356E-5</v>
      </c>
      <c r="F110" s="10">
        <f t="shared" si="5"/>
        <v>0.24499711865699525</v>
      </c>
      <c r="G110" s="3">
        <f>PARAMETERS!$B$16*PARAMETERS!$B$17*POWER(A110/500,PARAMETERS!$B$18)</f>
        <v>6.3655119236611789E-4</v>
      </c>
      <c r="H110" s="3">
        <f t="shared" si="4"/>
        <v>1.3416936655609736E-4</v>
      </c>
      <c r="I110" s="3">
        <f>PARAMETERS!$B$24*NAP*POWER(A110/555,PARAMETERS!$B$25)</f>
        <v>1.0200000000000001E-4</v>
      </c>
      <c r="J110" s="10">
        <f t="shared" si="6"/>
        <v>8.7272055892221527E-4</v>
      </c>
      <c r="K110" s="11">
        <f>PARAMETERS!$B$13*CALCULATIONS!J110/(CALCULATIONS!F110+CALCULATIONS!J110)</f>
        <v>7.6831452615130512E-4</v>
      </c>
      <c r="L110" s="11">
        <f t="shared" si="7"/>
        <v>2.44562109372575E-4</v>
      </c>
      <c r="O110" s="3"/>
      <c r="P110" s="3"/>
      <c r="Q110" s="3"/>
      <c r="R110" s="3"/>
      <c r="S110" s="3"/>
      <c r="T110" s="3"/>
    </row>
    <row r="111" spans="1:20" x14ac:dyDescent="0.25">
      <c r="A111" s="1">
        <f>PARAMETERS!I112</f>
        <v>606</v>
      </c>
      <c r="B111" s="3">
        <f>PARAMETERS!J112</f>
        <v>0.25869999999999999</v>
      </c>
      <c r="C111" s="3">
        <f>CHL*PARAMETERS!M112</f>
        <v>8.0234784315144154E-5</v>
      </c>
      <c r="D111" s="3">
        <f>NAP*PARAMETERS!$B$21*EXP(-PARAMETERS!$B$22*(A111-443))</f>
        <v>5.5216242583343727E-5</v>
      </c>
      <c r="E111" s="3">
        <f>CDOM*EXP(-PARAMETERS!$B$23*(CALCULATIONS!A111-443))</f>
        <v>5.6767006131304049E-5</v>
      </c>
      <c r="F111" s="10">
        <f t="shared" si="5"/>
        <v>0.25889221803302981</v>
      </c>
      <c r="G111" s="3">
        <f>PARAMETERS!$B$16*PARAMETERS!$B$17*POWER(A111/500,PARAMETERS!$B$18)</f>
        <v>6.2752520525386261E-4</v>
      </c>
      <c r="H111" s="3">
        <f t="shared" si="4"/>
        <v>1.3375300986986739E-4</v>
      </c>
      <c r="I111" s="3">
        <f>PARAMETERS!$B$24*NAP*POWER(A111/555,PARAMETERS!$B$25)</f>
        <v>1.0200000000000001E-4</v>
      </c>
      <c r="J111" s="10">
        <f t="shared" si="6"/>
        <v>8.6327821512373001E-4</v>
      </c>
      <c r="K111" s="11">
        <f>PARAMETERS!$B$13*CALCULATIONS!J111/(CALCULATIONS!F111+CALCULATIONS!J111)</f>
        <v>7.1937465137431207E-4</v>
      </c>
      <c r="L111" s="11">
        <f t="shared" si="7"/>
        <v>2.2898406340246137E-4</v>
      </c>
      <c r="O111" s="3"/>
      <c r="P111" s="3"/>
      <c r="Q111" s="3"/>
      <c r="R111" s="3"/>
      <c r="S111" s="3"/>
      <c r="T111" s="3"/>
    </row>
    <row r="112" spans="1:20" x14ac:dyDescent="0.25">
      <c r="A112" s="1">
        <f>PARAMETERS!I113</f>
        <v>608</v>
      </c>
      <c r="B112" s="3">
        <f>PARAMETERS!J113</f>
        <v>0.26529999999999998</v>
      </c>
      <c r="C112" s="3">
        <f>CHL*PARAMETERS!M113</f>
        <v>7.9467221214589158E-5</v>
      </c>
      <c r="D112" s="3">
        <f>NAP*PARAMETERS!$B$21*EXP(-PARAMETERS!$B$22*(A112-443))</f>
        <v>5.3874494184785033E-5</v>
      </c>
      <c r="E112" s="3">
        <f>CDOM*EXP(-PARAMETERS!$B$23*(CALCULATIONS!A112-443))</f>
        <v>5.480356677561413E-5</v>
      </c>
      <c r="F112" s="10">
        <f t="shared" si="5"/>
        <v>0.26548814528217496</v>
      </c>
      <c r="G112" s="3">
        <f>PARAMETERS!$B$16*PARAMETERS!$B$17*POWER(A112/500,PARAMETERS!$B$18)</f>
        <v>6.1865631211820594E-4</v>
      </c>
      <c r="H112" s="3">
        <f t="shared" si="4"/>
        <v>1.3333959708396732E-4</v>
      </c>
      <c r="I112" s="3">
        <f>PARAMETERS!$B$24*NAP*POWER(A112/555,PARAMETERS!$B$25)</f>
        <v>1.0200000000000001E-4</v>
      </c>
      <c r="J112" s="10">
        <f t="shared" si="6"/>
        <v>8.5399590920217326E-4</v>
      </c>
      <c r="K112" s="11">
        <f>PARAMETERS!$B$13*CALCULATIONS!J112/(CALCULATIONS!F112+CALCULATIONS!J112)</f>
        <v>6.9404079425548553E-4</v>
      </c>
      <c r="L112" s="11">
        <f t="shared" si="7"/>
        <v>2.2092004622637127E-4</v>
      </c>
      <c r="O112" s="3"/>
      <c r="P112" s="3"/>
      <c r="Q112" s="3"/>
      <c r="R112" s="3"/>
      <c r="S112" s="3"/>
      <c r="T112" s="3"/>
    </row>
    <row r="113" spans="1:20" x14ac:dyDescent="0.25">
      <c r="A113" s="1">
        <f>PARAMETERS!I114</f>
        <v>610</v>
      </c>
      <c r="B113" s="3">
        <f>PARAMETERS!J114</f>
        <v>0.26910000000000001</v>
      </c>
      <c r="C113" s="3">
        <f>CHL*PARAMETERS!M114</f>
        <v>7.9045082245697652E-5</v>
      </c>
      <c r="D113" s="3">
        <f>NAP*PARAMETERS!$B$21*EXP(-PARAMETERS!$B$22*(A113-443))</f>
        <v>5.2565350119313969E-5</v>
      </c>
      <c r="E113" s="3">
        <f>CDOM*EXP(-PARAMETERS!$B$23*(CALCULATIONS!A113-443))</f>
        <v>5.2908038242886352E-5</v>
      </c>
      <c r="F113" s="10">
        <f t="shared" si="5"/>
        <v>0.26928451847060791</v>
      </c>
      <c r="G113" s="3">
        <f>PARAMETERS!$B$16*PARAMETERS!$B$17*POWER(A113/500,PARAMETERS!$B$18)</f>
        <v>6.0994127545726097E-4</v>
      </c>
      <c r="H113" s="3">
        <f t="shared" si="4"/>
        <v>1.3292909780167236E-4</v>
      </c>
      <c r="I113" s="3">
        <f>PARAMETERS!$B$24*NAP*POWER(A113/555,PARAMETERS!$B$25)</f>
        <v>1.0200000000000001E-4</v>
      </c>
      <c r="J113" s="10">
        <f t="shared" si="6"/>
        <v>8.4487037325893337E-4</v>
      </c>
      <c r="K113" s="11">
        <f>PARAMETERS!$B$13*CALCULATIONS!J113/(CALCULATIONS!F113+CALCULATIONS!J113)</f>
        <v>6.7699792836189521E-4</v>
      </c>
      <c r="L113" s="11">
        <f t="shared" si="7"/>
        <v>2.1549513352353694E-4</v>
      </c>
      <c r="O113" s="3"/>
      <c r="P113" s="3"/>
      <c r="Q113" s="3"/>
      <c r="R113" s="3"/>
      <c r="S113" s="3"/>
      <c r="T113" s="3"/>
    </row>
    <row r="114" spans="1:20" x14ac:dyDescent="0.25">
      <c r="A114" s="1">
        <f>PARAMETERS!I115</f>
        <v>612</v>
      </c>
      <c r="B114" s="3">
        <f>PARAMETERS!J115</f>
        <v>0.27150000000000002</v>
      </c>
      <c r="C114" s="3">
        <f>CHL*PARAMETERS!M115</f>
        <v>8.1068476525738387E-5</v>
      </c>
      <c r="D114" s="3">
        <f>NAP*PARAMETERS!$B$21*EXP(-PARAMETERS!$B$22*(A114-443))</f>
        <v>5.1288018105354321E-5</v>
      </c>
      <c r="E114" s="3">
        <f>CDOM*EXP(-PARAMETERS!$B$23*(CALCULATIONS!A114-443))</f>
        <v>5.1078071654932985E-5</v>
      </c>
      <c r="F114" s="10">
        <f t="shared" si="5"/>
        <v>0.27168343456628602</v>
      </c>
      <c r="G114" s="3">
        <f>PARAMETERS!$B$16*PARAMETERS!$B$17*POWER(A114/500,PARAMETERS!$B$18)</f>
        <v>6.0137693479550276E-4</v>
      </c>
      <c r="H114" s="3">
        <f t="shared" si="4"/>
        <v>1.325214820383994E-4</v>
      </c>
      <c r="I114" s="3">
        <f>PARAMETERS!$B$24*NAP*POWER(A114/555,PARAMETERS!$B$25)</f>
        <v>1.0200000000000001E-4</v>
      </c>
      <c r="J114" s="10">
        <f t="shared" si="6"/>
        <v>8.3589841683390221E-4</v>
      </c>
      <c r="K114" s="11">
        <f>PARAMETERS!$B$13*CALCULATIONS!J114/(CALCULATIONS!F114+CALCULATIONS!J114)</f>
        <v>6.6393456656624837E-4</v>
      </c>
      <c r="L114" s="11">
        <f t="shared" si="7"/>
        <v>2.1133693631718691E-4</v>
      </c>
      <c r="O114" s="3"/>
      <c r="P114" s="3"/>
      <c r="Q114" s="3"/>
      <c r="R114" s="3"/>
      <c r="S114" s="3"/>
      <c r="T114" s="3"/>
    </row>
    <row r="115" spans="1:20" x14ac:dyDescent="0.25">
      <c r="A115" s="1">
        <f>PARAMETERS!I116</f>
        <v>614</v>
      </c>
      <c r="B115" s="3">
        <f>PARAMETERS!J116</f>
        <v>0.27399999999999997</v>
      </c>
      <c r="C115" s="3">
        <f>CHL*PARAMETERS!M116</f>
        <v>8.1311364741062163E-5</v>
      </c>
      <c r="D115" s="3">
        <f>NAP*PARAMETERS!$B$21*EXP(-PARAMETERS!$B$22*(A115-443))</f>
        <v>5.0041725113681851E-5</v>
      </c>
      <c r="E115" s="3">
        <f>CDOM*EXP(-PARAMETERS!$B$23*(CALCULATIONS!A115-443))</f>
        <v>4.9311399375826466E-5</v>
      </c>
      <c r="F115" s="10">
        <f t="shared" si="5"/>
        <v>0.27418066448923051</v>
      </c>
      <c r="G115" s="3">
        <f>PARAMETERS!$B$16*PARAMETERS!$B$17*POWER(A115/500,PARAMETERS!$B$18)</f>
        <v>5.9296020460756268E-4</v>
      </c>
      <c r="H115" s="3">
        <f t="shared" si="4"/>
        <v>1.3211672021479529E-4</v>
      </c>
      <c r="I115" s="3">
        <f>PARAMETERS!$B$24*NAP*POWER(A115/555,PARAMETERS!$B$25)</f>
        <v>1.0200000000000001E-4</v>
      </c>
      <c r="J115" s="10">
        <f t="shared" si="6"/>
        <v>8.2707692482235796E-4</v>
      </c>
      <c r="K115" s="11">
        <f>PARAMETERS!$B$13*CALCULATIONS!J115/(CALCULATIONS!F115+CALCULATIONS!J115)</f>
        <v>6.5098364787002222E-4</v>
      </c>
      <c r="L115" s="11">
        <f t="shared" si="7"/>
        <v>2.0721453086101565E-4</v>
      </c>
      <c r="O115" s="3"/>
      <c r="P115" s="3"/>
      <c r="Q115" s="3"/>
      <c r="R115" s="3"/>
      <c r="S115" s="3"/>
      <c r="T115" s="3"/>
    </row>
    <row r="116" spans="1:20" x14ac:dyDescent="0.25">
      <c r="A116" s="1">
        <f>PARAMETERS!I117</f>
        <v>616</v>
      </c>
      <c r="B116" s="3">
        <f>PARAMETERS!J117</f>
        <v>0.27639999999999998</v>
      </c>
      <c r="C116" s="3">
        <f>CHL*PARAMETERS!M117</f>
        <v>8.28689220258794E-5</v>
      </c>
      <c r="D116" s="3">
        <f>NAP*PARAMETERS!$B$21*EXP(-PARAMETERS!$B$22*(A116-443))</f>
        <v>4.8825716899594296E-5</v>
      </c>
      <c r="E116" s="3">
        <f>CDOM*EXP(-PARAMETERS!$B$23*(CALCULATIONS!A116-443))</f>
        <v>4.7605832201917508E-5</v>
      </c>
      <c r="F116" s="10">
        <f t="shared" si="5"/>
        <v>0.27657930047112733</v>
      </c>
      <c r="G116" s="3">
        <f>PARAMETERS!$B$16*PARAMETERS!$B$17*POWER(A116/500,PARAMETERS!$B$18)</f>
        <v>5.846880723045085E-4</v>
      </c>
      <c r="H116" s="3">
        <f t="shared" si="4"/>
        <v>1.3171478314996245E-4</v>
      </c>
      <c r="I116" s="3">
        <f>PARAMETERS!$B$24*NAP*POWER(A116/555,PARAMETERS!$B$25)</f>
        <v>1.0200000000000001E-4</v>
      </c>
      <c r="J116" s="10">
        <f t="shared" si="6"/>
        <v>8.1840285545447091E-4</v>
      </c>
      <c r="K116" s="11">
        <f>PARAMETERS!$B$13*CALCULATIONS!J116/(CALCULATIONS!F116+CALCULATIONS!J116)</f>
        <v>6.3860655125655473E-4</v>
      </c>
      <c r="L116" s="11">
        <f t="shared" si="7"/>
        <v>2.0327477864669704E-4</v>
      </c>
      <c r="O116" s="3"/>
      <c r="P116" s="3"/>
      <c r="Q116" s="3"/>
      <c r="R116" s="3"/>
      <c r="S116" s="3"/>
      <c r="T116" s="3"/>
    </row>
    <row r="117" spans="1:20" x14ac:dyDescent="0.25">
      <c r="A117" s="1">
        <f>PARAMETERS!I118</f>
        <v>618</v>
      </c>
      <c r="B117" s="3">
        <f>PARAMETERS!J118</f>
        <v>0.27850000000000003</v>
      </c>
      <c r="C117" s="3">
        <f>CHL*PARAMETERS!M118</f>
        <v>8.4594192551685422E-5</v>
      </c>
      <c r="D117" s="3">
        <f>NAP*PARAMETERS!$B$21*EXP(-PARAMETERS!$B$22*(A117-443))</f>
        <v>4.7639257546449664E-5</v>
      </c>
      <c r="E117" s="3">
        <f>CDOM*EXP(-PARAMETERS!$B$23*(CALCULATIONS!A117-443))</f>
        <v>4.5959256649044205E-5</v>
      </c>
      <c r="F117" s="10">
        <f t="shared" si="5"/>
        <v>0.27867819270674721</v>
      </c>
      <c r="G117" s="3">
        <f>PARAMETERS!$B$16*PARAMETERS!$B$17*POWER(A117/500,PARAMETERS!$B$18)</f>
        <v>5.7655759628053699E-4</v>
      </c>
      <c r="H117" s="3">
        <f t="shared" si="4"/>
        <v>1.3131564205481964E-4</v>
      </c>
      <c r="I117" s="3">
        <f>PARAMETERS!$B$24*NAP*POWER(A117/555,PARAMETERS!$B$25)</f>
        <v>1.0200000000000001E-4</v>
      </c>
      <c r="J117" s="10">
        <f t="shared" si="6"/>
        <v>8.0987323833535657E-4</v>
      </c>
      <c r="K117" s="11">
        <f>PARAMETERS!$B$13*CALCULATIONS!J117/(CALCULATIONS!F117+CALCULATIONS!J117)</f>
        <v>6.2722429854838991E-4</v>
      </c>
      <c r="L117" s="11">
        <f t="shared" si="7"/>
        <v>1.9965169508264594E-4</v>
      </c>
      <c r="O117" s="3"/>
      <c r="P117" s="3"/>
      <c r="Q117" s="3"/>
      <c r="R117" s="3"/>
      <c r="S117" s="3"/>
      <c r="T117" s="3"/>
    </row>
    <row r="118" spans="1:20" x14ac:dyDescent="0.25">
      <c r="A118" s="1">
        <f>PARAMETERS!I119</f>
        <v>620</v>
      </c>
      <c r="B118" s="3">
        <f>PARAMETERS!J119</f>
        <v>0.28100000000000003</v>
      </c>
      <c r="C118" s="3">
        <f>CHL*PARAMETERS!M119</f>
        <v>8.7279722473961152E-5</v>
      </c>
      <c r="D118" s="3">
        <f>NAP*PARAMETERS!$B$21*EXP(-PARAMETERS!$B$22*(A118-443))</f>
        <v>4.6481629020296459E-5</v>
      </c>
      <c r="E118" s="3">
        <f>CDOM*EXP(-PARAMETERS!$B$23*(CALCULATIONS!A118-443))</f>
        <v>4.436963233357013E-5</v>
      </c>
      <c r="F118" s="10">
        <f t="shared" si="5"/>
        <v>0.28117813098382788</v>
      </c>
      <c r="G118" s="3">
        <f>PARAMETERS!$B$16*PARAMETERS!$B$17*POWER(A118/500,PARAMETERS!$B$18)</f>
        <v>5.6856590401807615E-4</v>
      </c>
      <c r="H118" s="3">
        <f t="shared" si="4"/>
        <v>1.3091926852559443E-4</v>
      </c>
      <c r="I118" s="3">
        <f>PARAMETERS!$B$24*NAP*POWER(A118/555,PARAMETERS!$B$25)</f>
        <v>1.0200000000000001E-4</v>
      </c>
      <c r="J118" s="10">
        <f t="shared" si="6"/>
        <v>8.0148517254367054E-4</v>
      </c>
      <c r="K118" s="11">
        <f>PARAMETERS!$B$13*CALCULATIONS!J118/(CALCULATIONS!F118+CALCULATIONS!J118)</f>
        <v>6.1524327021734331E-4</v>
      </c>
      <c r="L118" s="11">
        <f t="shared" si="7"/>
        <v>1.9583801531822574E-4</v>
      </c>
      <c r="O118" s="3"/>
      <c r="P118" s="3"/>
      <c r="Q118" s="3"/>
      <c r="R118" s="3"/>
      <c r="S118" s="3"/>
      <c r="T118" s="3"/>
    </row>
    <row r="119" spans="1:20" x14ac:dyDescent="0.25">
      <c r="A119" s="1">
        <f>PARAMETERS!I120</f>
        <v>622</v>
      </c>
      <c r="B119" s="3">
        <f>PARAMETERS!J120</f>
        <v>0.28389999999999999</v>
      </c>
      <c r="C119" s="3">
        <f>CHL*PARAMETERS!M120</f>
        <v>9.0270102489326042E-5</v>
      </c>
      <c r="D119" s="3">
        <f>NAP*PARAMETERS!$B$21*EXP(-PARAMETERS!$B$22*(A119-443))</f>
        <v>4.5352130735326301E-5</v>
      </c>
      <c r="E119" s="3">
        <f>CDOM*EXP(-PARAMETERS!$B$23*(CALCULATIONS!A119-443))</f>
        <v>4.2834989444006454E-5</v>
      </c>
      <c r="F119" s="10">
        <f t="shared" si="5"/>
        <v>0.28407845722266867</v>
      </c>
      <c r="G119" s="3">
        <f>PARAMETERS!$B$16*PARAMETERS!$B$17*POWER(A119/500,PARAMETERS!$B$18)</f>
        <v>5.6071019024937058E-4</v>
      </c>
      <c r="H119" s="3">
        <f t="shared" si="4"/>
        <v>1.3052563453744403E-4</v>
      </c>
      <c r="I119" s="3">
        <f>PARAMETERS!$B$24*NAP*POWER(A119/555,PARAMETERS!$B$25)</f>
        <v>1.0200000000000001E-4</v>
      </c>
      <c r="J119" s="10">
        <f t="shared" si="6"/>
        <v>7.9323582478681457E-4</v>
      </c>
      <c r="K119" s="11">
        <f>PARAMETERS!$B$13*CALCULATIONS!J119/(CALCULATIONS!F119+CALCULATIONS!J119)</f>
        <v>6.027290416943114E-4</v>
      </c>
      <c r="L119" s="11">
        <f t="shared" si="7"/>
        <v>1.9185461266138149E-4</v>
      </c>
      <c r="O119" s="3"/>
      <c r="P119" s="3"/>
      <c r="Q119" s="3"/>
      <c r="R119" s="3"/>
      <c r="S119" s="3"/>
      <c r="T119" s="3"/>
    </row>
    <row r="120" spans="1:20" x14ac:dyDescent="0.25">
      <c r="A120" s="1">
        <f>PARAMETERS!I121</f>
        <v>624</v>
      </c>
      <c r="B120" s="3">
        <f>PARAMETERS!J121</f>
        <v>0.2868</v>
      </c>
      <c r="C120" s="3">
        <f>CHL*PARAMETERS!M121</f>
        <v>9.291264053441653E-5</v>
      </c>
      <c r="D120" s="3">
        <f>NAP*PARAMETERS!$B$21*EXP(-PARAMETERS!$B$22*(A120-443))</f>
        <v>4.4250079129886113E-5</v>
      </c>
      <c r="E120" s="3">
        <f>CDOM*EXP(-PARAMETERS!$B$23*(CALCULATIONS!A120-443))</f>
        <v>4.1353426300084651E-5</v>
      </c>
      <c r="F120" s="10">
        <f t="shared" si="5"/>
        <v>0.28697851614596437</v>
      </c>
      <c r="G120" s="3">
        <f>PARAMETERS!$B$16*PARAMETERS!$B$17*POWER(A120/500,PARAMETERS!$B$18)</f>
        <v>5.5298771517269072E-4</v>
      </c>
      <c r="H120" s="3">
        <f t="shared" si="4"/>
        <v>1.3013471243820233E-4</v>
      </c>
      <c r="I120" s="3">
        <f>PARAMETERS!$B$24*NAP*POWER(A120/555,PARAMETERS!$B$25)</f>
        <v>1.0200000000000001E-4</v>
      </c>
      <c r="J120" s="10">
        <f t="shared" si="6"/>
        <v>7.8512242761089306E-4</v>
      </c>
      <c r="K120" s="11">
        <f>PARAMETERS!$B$13*CALCULATIONS!J120/(CALCULATIONS!F120+CALCULATIONS!J120)</f>
        <v>5.9056888514179067E-4</v>
      </c>
      <c r="L120" s="11">
        <f t="shared" si="7"/>
        <v>1.8798391461317154E-4</v>
      </c>
      <c r="O120" s="3"/>
      <c r="P120" s="3"/>
      <c r="Q120" s="3"/>
      <c r="R120" s="3"/>
      <c r="S120" s="3"/>
      <c r="T120" s="3"/>
    </row>
    <row r="121" spans="1:20" x14ac:dyDescent="0.25">
      <c r="A121" s="1">
        <f>PARAMETERS!I122</f>
        <v>626</v>
      </c>
      <c r="B121" s="3">
        <f>PARAMETERS!J122</f>
        <v>0.2893</v>
      </c>
      <c r="C121" s="3">
        <f>CHL*PARAMETERS!M122</f>
        <v>9.5611231640834135E-5</v>
      </c>
      <c r="D121" s="3">
        <f>NAP*PARAMETERS!$B$21*EXP(-PARAMETERS!$B$22*(A121-443))</f>
        <v>4.317480725279301E-5</v>
      </c>
      <c r="E121" s="3">
        <f>CDOM*EXP(-PARAMETERS!$B$23*(CALCULATIONS!A121-443))</f>
        <v>3.9923106996255203E-5</v>
      </c>
      <c r="F121" s="10">
        <f t="shared" si="5"/>
        <v>0.28947870914588986</v>
      </c>
      <c r="G121" s="3">
        <f>PARAMETERS!$B$16*PARAMETERS!$B$17*POWER(A121/500,PARAMETERS!$B$18)</f>
        <v>5.4539580272137717E-4</v>
      </c>
      <c r="H121" s="3">
        <f t="shared" si="4"/>
        <v>1.2974647494224921E-4</v>
      </c>
      <c r="I121" s="3">
        <f>PARAMETERS!$B$24*NAP*POWER(A121/555,PARAMETERS!$B$25)</f>
        <v>1.0200000000000001E-4</v>
      </c>
      <c r="J121" s="10">
        <f t="shared" si="6"/>
        <v>7.7714227766362634E-4</v>
      </c>
      <c r="K121" s="11">
        <f>PARAMETERS!$B$13*CALCULATIONS!J121/(CALCULATIONS!F121+CALCULATIONS!J121)</f>
        <v>5.7954697960023102E-4</v>
      </c>
      <c r="L121" s="11">
        <f t="shared" si="7"/>
        <v>1.844755331147092E-4</v>
      </c>
      <c r="O121" s="3"/>
      <c r="P121" s="3"/>
      <c r="Q121" s="3"/>
      <c r="R121" s="3"/>
      <c r="S121" s="3"/>
      <c r="T121" s="3"/>
    </row>
    <row r="122" spans="1:20" x14ac:dyDescent="0.25">
      <c r="A122" s="1">
        <f>PARAMETERS!I123</f>
        <v>628</v>
      </c>
      <c r="B122" s="3">
        <f>PARAMETERS!J123</f>
        <v>0.29220000000000002</v>
      </c>
      <c r="C122" s="3">
        <f>CHL*PARAMETERS!M123</f>
        <v>9.791496899654736E-5</v>
      </c>
      <c r="D122" s="3">
        <f>NAP*PARAMETERS!$B$21*EXP(-PARAMETERS!$B$22*(A122-443))</f>
        <v>4.2125664359701794E-5</v>
      </c>
      <c r="E122" s="3">
        <f>CDOM*EXP(-PARAMETERS!$B$23*(CALCULATIONS!A122-443))</f>
        <v>3.8542259126692459E-5</v>
      </c>
      <c r="F122" s="10">
        <f t="shared" si="5"/>
        <v>0.29237858289248292</v>
      </c>
      <c r="G122" s="3">
        <f>PARAMETERS!$B$16*PARAMETERS!$B$17*POWER(A122/500,PARAMETERS!$B$18)</f>
        <v>5.3793183888398816E-4</v>
      </c>
      <c r="H122" s="3">
        <f t="shared" si="4"/>
        <v>1.2936089512450023E-4</v>
      </c>
      <c r="I122" s="3">
        <f>PARAMETERS!$B$24*NAP*POWER(A122/555,PARAMETERS!$B$25)</f>
        <v>1.0200000000000001E-4</v>
      </c>
      <c r="J122" s="10">
        <f t="shared" si="6"/>
        <v>7.6929273400848841E-4</v>
      </c>
      <c r="K122" s="11">
        <f>PARAMETERS!$B$13*CALCULATIONS!J122/(CALCULATIONS!F122+CALCULATIONS!J122)</f>
        <v>5.6803353227726405E-4</v>
      </c>
      <c r="L122" s="11">
        <f t="shared" si="7"/>
        <v>1.8081068900775252E-4</v>
      </c>
      <c r="O122" s="3"/>
      <c r="P122" s="3"/>
      <c r="Q122" s="3"/>
      <c r="R122" s="3"/>
      <c r="S122" s="3"/>
      <c r="T122" s="3"/>
    </row>
    <row r="123" spans="1:20" x14ac:dyDescent="0.25">
      <c r="A123" s="1">
        <f>PARAMETERS!I124</f>
        <v>630</v>
      </c>
      <c r="B123" s="3">
        <f>PARAMETERS!J124</f>
        <v>0.29550000000000004</v>
      </c>
      <c r="C123" s="3">
        <f>CHL*PARAMETERS!M124</f>
        <v>1.0168534084842158E-4</v>
      </c>
      <c r="D123" s="3">
        <f>NAP*PARAMETERS!$B$21*EXP(-PARAMETERS!$B$22*(A123-443))</f>
        <v>4.1102015519280679E-5</v>
      </c>
      <c r="E123" s="3">
        <f>CDOM*EXP(-PARAMETERS!$B$23*(CALCULATIONS!A123-443))</f>
        <v>3.720917158898601E-5</v>
      </c>
      <c r="F123" s="10">
        <f t="shared" si="5"/>
        <v>0.29567999652795673</v>
      </c>
      <c r="G123" s="3">
        <f>PARAMETERS!$B$16*PARAMETERS!$B$17*POWER(A123/500,PARAMETERS!$B$18)</f>
        <v>5.305932700738887E-4</v>
      </c>
      <c r="H123" s="3">
        <f t="shared" si="4"/>
        <v>1.2897794641451361E-4</v>
      </c>
      <c r="I123" s="3">
        <f>PARAMETERS!$B$24*NAP*POWER(A123/555,PARAMETERS!$B$25)</f>
        <v>1.0200000000000001E-4</v>
      </c>
      <c r="J123" s="10">
        <f t="shared" si="6"/>
        <v>7.6157121648840235E-4</v>
      </c>
      <c r="K123" s="11">
        <f>PARAMETERS!$B$13*CALCULATIONS!J123/(CALCULATIONS!F123+CALCULATIONS!J123)</f>
        <v>5.5608414766141216E-4</v>
      </c>
      <c r="L123" s="11">
        <f t="shared" si="7"/>
        <v>1.7700708175071435E-4</v>
      </c>
      <c r="O123" s="3"/>
      <c r="P123" s="3"/>
      <c r="Q123" s="3"/>
      <c r="R123" s="3"/>
      <c r="S123" s="3"/>
      <c r="T123" s="3"/>
    </row>
    <row r="124" spans="1:20" x14ac:dyDescent="0.25">
      <c r="A124" s="1">
        <f>PARAMETERS!I125</f>
        <v>632</v>
      </c>
      <c r="B124" s="3">
        <f>PARAMETERS!J125</f>
        <v>0.29880000000000001</v>
      </c>
      <c r="C124" s="3">
        <f>CHL*PARAMETERS!M125</f>
        <v>1.0551710326445271E-4</v>
      </c>
      <c r="D124" s="3">
        <f>NAP*PARAMETERS!$B$21*EXP(-PARAMETERS!$B$22*(A124-443))</f>
        <v>4.0103241228956812E-5</v>
      </c>
      <c r="E124" s="3">
        <f>CDOM*EXP(-PARAMETERS!$B$23*(CALCULATIONS!A124-443))</f>
        <v>3.5922192463797557E-5</v>
      </c>
      <c r="F124" s="10">
        <f t="shared" si="5"/>
        <v>0.29898154253695719</v>
      </c>
      <c r="G124" s="3">
        <f>PARAMETERS!$B$16*PARAMETERS!$B$17*POWER(A124/500,PARAMETERS!$B$18)</f>
        <v>5.2337760154667413E-4</v>
      </c>
      <c r="H124" s="3">
        <f t="shared" si="4"/>
        <v>1.2859760259071175E-4</v>
      </c>
      <c r="I124" s="3">
        <f>PARAMETERS!$B$24*NAP*POWER(A124/555,PARAMETERS!$B$25)</f>
        <v>1.0200000000000001E-4</v>
      </c>
      <c r="J124" s="10">
        <f t="shared" si="6"/>
        <v>7.5397520413738586E-4</v>
      </c>
      <c r="K124" s="11">
        <f>PARAMETERS!$B$13*CALCULATIONS!J124/(CALCULATIONS!F124+CALCULATIONS!J124)</f>
        <v>5.4448754466233972E-4</v>
      </c>
      <c r="L124" s="11">
        <f t="shared" si="7"/>
        <v>1.73315768369961E-4</v>
      </c>
      <c r="O124" s="3"/>
      <c r="P124" s="3"/>
      <c r="Q124" s="3"/>
      <c r="R124" s="3"/>
      <c r="S124" s="3"/>
      <c r="T124" s="3"/>
    </row>
    <row r="125" spans="1:20" x14ac:dyDescent="0.25">
      <c r="A125" s="1">
        <f>PARAMETERS!I126</f>
        <v>634</v>
      </c>
      <c r="B125" s="3">
        <f>PARAMETERS!J126</f>
        <v>0.30109999999999998</v>
      </c>
      <c r="C125" s="3">
        <f>CHL*PARAMETERS!M126</f>
        <v>1.0895112518002121E-4</v>
      </c>
      <c r="D125" s="3">
        <f>NAP*PARAMETERS!$B$21*EXP(-PARAMETERS!$B$22*(A125-443))</f>
        <v>3.9128737039999245E-5</v>
      </c>
      <c r="E125" s="3">
        <f>CDOM*EXP(-PARAMETERS!$B$23*(CALCULATIONS!A125-443))</f>
        <v>3.4679726967855303E-5</v>
      </c>
      <c r="F125" s="10">
        <f t="shared" si="5"/>
        <v>0.30128275958918782</v>
      </c>
      <c r="G125" s="3">
        <f>PARAMETERS!$B$16*PARAMETERS!$B$17*POWER(A125/500,PARAMETERS!$B$18)</f>
        <v>5.1628239586387777E-4</v>
      </c>
      <c r="H125" s="3">
        <f t="shared" si="4"/>
        <v>1.2821983777471505E-4</v>
      </c>
      <c r="I125" s="3">
        <f>PARAMETERS!$B$24*NAP*POWER(A125/555,PARAMETERS!$B$25)</f>
        <v>1.0200000000000001E-4</v>
      </c>
      <c r="J125" s="10">
        <f t="shared" si="6"/>
        <v>7.4650223363859276E-4</v>
      </c>
      <c r="K125" s="11">
        <f>PARAMETERS!$B$13*CALCULATIONS!J125/(CALCULATIONS!F125+CALCULATIONS!J125)</f>
        <v>5.349968006891577E-4</v>
      </c>
      <c r="L125" s="11">
        <f t="shared" si="7"/>
        <v>1.7029477073605794E-4</v>
      </c>
      <c r="O125" s="3"/>
      <c r="P125" s="3"/>
      <c r="Q125" s="3"/>
      <c r="R125" s="3"/>
      <c r="S125" s="3"/>
      <c r="T125" s="3"/>
    </row>
    <row r="126" spans="1:20" x14ac:dyDescent="0.25">
      <c r="A126" s="1">
        <f>PARAMETERS!I127</f>
        <v>636</v>
      </c>
      <c r="B126" s="3">
        <f>PARAMETERS!J127</f>
        <v>0.30380000000000001</v>
      </c>
      <c r="C126" s="3">
        <f>CHL*PARAMETERS!M127</f>
        <v>1.1247636266267802E-4</v>
      </c>
      <c r="D126" s="3">
        <f>NAP*PARAMETERS!$B$21*EXP(-PARAMETERS!$B$22*(A126-443))</f>
        <v>3.8177913191712241E-5</v>
      </c>
      <c r="E126" s="3">
        <f>CDOM*EXP(-PARAMETERS!$B$23*(CALCULATIONS!A126-443))</f>
        <v>3.3480235477749771E-5</v>
      </c>
      <c r="F126" s="10">
        <f t="shared" si="5"/>
        <v>0.30398413451133216</v>
      </c>
      <c r="G126" s="3">
        <f>PARAMETERS!$B$16*PARAMETERS!$B$17*POWER(A126/500,PARAMETERS!$B$18)</f>
        <v>5.0930527140147046E-4</v>
      </c>
      <c r="H126" s="3">
        <f t="shared" si="4"/>
        <v>1.2784462642578506E-4</v>
      </c>
      <c r="I126" s="3">
        <f>PARAMETERS!$B$24*NAP*POWER(A126/555,PARAMETERS!$B$25)</f>
        <v>1.0200000000000001E-4</v>
      </c>
      <c r="J126" s="10">
        <f t="shared" si="6"/>
        <v>7.391498978272555E-4</v>
      </c>
      <c r="K126" s="11">
        <f>PARAMETERS!$B$13*CALCULATIONS!J126/(CALCULATIONS!F126+CALCULATIONS!J126)</f>
        <v>5.2504433278380031E-4</v>
      </c>
      <c r="L126" s="11">
        <f t="shared" si="7"/>
        <v>1.6712680180985579E-4</v>
      </c>
      <c r="O126" s="3"/>
      <c r="P126" s="3"/>
      <c r="Q126" s="3"/>
      <c r="R126" s="3"/>
      <c r="S126" s="3"/>
      <c r="T126" s="3"/>
    </row>
    <row r="127" spans="1:20" x14ac:dyDescent="0.25">
      <c r="A127" s="1">
        <f>PARAMETERS!I128</f>
        <v>638</v>
      </c>
      <c r="B127" s="3">
        <f>PARAMETERS!J128</f>
        <v>0.30760000000000004</v>
      </c>
      <c r="C127" s="3">
        <f>CHL*PARAMETERS!M128</f>
        <v>1.1663089069274636E-4</v>
      </c>
      <c r="D127" s="3">
        <f>NAP*PARAMETERS!$B$21*EXP(-PARAMETERS!$B$22*(A127-443))</f>
        <v>3.7250194254517756E-5</v>
      </c>
      <c r="E127" s="3">
        <f>CDOM*EXP(-PARAMETERS!$B$23*(CALCULATIONS!A127-443))</f>
        <v>3.2322231622081757E-5</v>
      </c>
      <c r="F127" s="10">
        <f t="shared" si="5"/>
        <v>0.30778620331656936</v>
      </c>
      <c r="G127" s="3">
        <f>PARAMETERS!$B$16*PARAMETERS!$B$17*POWER(A127/500,PARAMETERS!$B$18)</f>
        <v>5.0244390090170836E-4</v>
      </c>
      <c r="H127" s="3">
        <f t="shared" si="4"/>
        <v>1.2747194333537459E-4</v>
      </c>
      <c r="I127" s="3">
        <f>PARAMETERS!$B$24*NAP*POWER(A127/555,PARAMETERS!$B$25)</f>
        <v>1.0200000000000001E-4</v>
      </c>
      <c r="J127" s="10">
        <f t="shared" si="6"/>
        <v>7.3191584423708299E-4</v>
      </c>
      <c r="K127" s="11">
        <f>PARAMETERS!$B$13*CALCULATIONS!J127/(CALCULATIONS!F127+CALCULATIONS!J127)</f>
        <v>5.1351078373868941E-4</v>
      </c>
      <c r="L127" s="11">
        <f t="shared" si="7"/>
        <v>1.6345555912601137E-4</v>
      </c>
      <c r="O127" s="3"/>
      <c r="P127" s="3"/>
      <c r="Q127" s="3"/>
      <c r="R127" s="3"/>
      <c r="S127" s="3"/>
      <c r="T127" s="3"/>
    </row>
    <row r="128" spans="1:20" x14ac:dyDescent="0.25">
      <c r="A128" s="1">
        <f>PARAMETERS!I129</f>
        <v>640</v>
      </c>
      <c r="B128" s="3">
        <f>PARAMETERS!J129</f>
        <v>0.31109999999999999</v>
      </c>
      <c r="C128" s="3">
        <f>CHL*PARAMETERS!M129</f>
        <v>1.2091793593368355E-4</v>
      </c>
      <c r="D128" s="3">
        <f>NAP*PARAMETERS!$B$21*EXP(-PARAMETERS!$B$22*(A128-443))</f>
        <v>3.6345018781710825E-5</v>
      </c>
      <c r="E128" s="3">
        <f>CDOM*EXP(-PARAMETERS!$B$23*(CALCULATIONS!A128-443))</f>
        <v>3.1204280439598608E-5</v>
      </c>
      <c r="F128" s="10">
        <f t="shared" si="5"/>
        <v>0.31128846723515496</v>
      </c>
      <c r="G128" s="3">
        <f>PARAMETERS!$B$16*PARAMETERS!$B$17*POWER(A128/500,PARAMETERS!$B$18)</f>
        <v>4.9569601006693991E-4</v>
      </c>
      <c r="H128" s="3">
        <f t="shared" si="4"/>
        <v>1.2710176362178333E-4</v>
      </c>
      <c r="I128" s="3">
        <f>PARAMETERS!$B$24*NAP*POWER(A128/555,PARAMETERS!$B$25)</f>
        <v>1.0200000000000001E-4</v>
      </c>
      <c r="J128" s="10">
        <f t="shared" si="6"/>
        <v>7.2479777368872323E-4</v>
      </c>
      <c r="K128" s="11">
        <f>PARAMETERS!$B$13*CALCULATIONS!J128/(CALCULATIONS!F128+CALCULATIONS!J128)</f>
        <v>5.0282039765004783E-4</v>
      </c>
      <c r="L128" s="11">
        <f t="shared" si="7"/>
        <v>1.600527035468751E-4</v>
      </c>
      <c r="O128" s="3"/>
      <c r="P128" s="3"/>
      <c r="Q128" s="3"/>
      <c r="R128" s="3"/>
      <c r="S128" s="3"/>
      <c r="T128" s="3"/>
    </row>
    <row r="129" spans="1:20" x14ac:dyDescent="0.25">
      <c r="A129" s="1">
        <f>PARAMETERS!I130</f>
        <v>642</v>
      </c>
      <c r="B129" s="3">
        <f>PARAMETERS!J130</f>
        <v>0.31440000000000001</v>
      </c>
      <c r="C129" s="3">
        <f>CHL*PARAMETERS!M130</f>
        <v>1.2650118759399652E-4</v>
      </c>
      <c r="D129" s="3">
        <f>NAP*PARAMETERS!$B$21*EXP(-PARAMETERS!$B$22*(A129-443))</f>
        <v>3.546183896967746E-5</v>
      </c>
      <c r="E129" s="3">
        <f>CDOM*EXP(-PARAMETERS!$B$23*(CALCULATIONS!A129-443))</f>
        <v>3.0124996601036144E-5</v>
      </c>
      <c r="F129" s="10">
        <f t="shared" si="5"/>
        <v>0.31459208802316474</v>
      </c>
      <c r="G129" s="3">
        <f>PARAMETERS!$B$16*PARAMETERS!$B$17*POWER(A129/500,PARAMETERS!$B$18)</f>
        <v>4.8905937619402973E-4</v>
      </c>
      <c r="H129" s="3">
        <f t="shared" si="4"/>
        <v>1.267340627249146E-4</v>
      </c>
      <c r="I129" s="3">
        <f>PARAMETERS!$B$24*NAP*POWER(A129/555,PARAMETERS!$B$25)</f>
        <v>1.0200000000000001E-4</v>
      </c>
      <c r="J129" s="10">
        <f t="shared" si="6"/>
        <v>7.1779343891894426E-4</v>
      </c>
      <c r="K129" s="11">
        <f>PARAMETERS!$B$13*CALCULATIONS!J129/(CALCULATIONS!F129+CALCULATIONS!J129)</f>
        <v>4.9275495217843384E-4</v>
      </c>
      <c r="L129" s="11">
        <f t="shared" si="7"/>
        <v>1.5684877274441651E-4</v>
      </c>
      <c r="O129" s="3"/>
      <c r="P129" s="3"/>
      <c r="Q129" s="3"/>
      <c r="R129" s="3"/>
      <c r="S129" s="3"/>
      <c r="T129" s="3"/>
    </row>
    <row r="130" spans="1:20" x14ac:dyDescent="0.25">
      <c r="A130" s="1">
        <f>PARAMETERS!I131</f>
        <v>644</v>
      </c>
      <c r="B130" s="3">
        <f>PARAMETERS!J131</f>
        <v>0.31809999999999999</v>
      </c>
      <c r="C130" s="3">
        <f>CHL*PARAMETERS!M131</f>
        <v>1.3293125082456696E-4</v>
      </c>
      <c r="D130" s="3">
        <f>NAP*PARAMETERS!$B$21*EXP(-PARAMETERS!$B$22*(A130-443))</f>
        <v>3.460012032636898E-5</v>
      </c>
      <c r="E130" s="3">
        <f>CDOM*EXP(-PARAMETERS!$B$23*(CALCULATIONS!A130-443))</f>
        <v>2.908304269246315E-5</v>
      </c>
      <c r="F130" s="10">
        <f t="shared" si="5"/>
        <v>0.31829661441384338</v>
      </c>
      <c r="G130" s="3">
        <f>PARAMETERS!$B$16*PARAMETERS!$B$17*POWER(A130/500,PARAMETERS!$B$18)</f>
        <v>4.8253182684810324E-4</v>
      </c>
      <c r="H130" s="3">
        <f t="shared" si="4"/>
        <v>1.2636881640113348E-4</v>
      </c>
      <c r="I130" s="3">
        <f>PARAMETERS!$B$24*NAP*POWER(A130/555,PARAMETERS!$B$25)</f>
        <v>1.0200000000000001E-4</v>
      </c>
      <c r="J130" s="10">
        <f t="shared" si="6"/>
        <v>7.1090064324923674E-4</v>
      </c>
      <c r="K130" s="11">
        <f>PARAMETERS!$B$13*CALCULATIONS!J130/(CALCULATIONS!F130+CALCULATIONS!J130)</f>
        <v>4.8236644327596554E-4</v>
      </c>
      <c r="L130" s="11">
        <f t="shared" si="7"/>
        <v>1.5354200765805252E-4</v>
      </c>
      <c r="O130" s="3"/>
      <c r="P130" s="3"/>
      <c r="Q130" s="3"/>
      <c r="R130" s="3"/>
      <c r="S130" s="3"/>
      <c r="T130" s="3"/>
    </row>
    <row r="131" spans="1:20" x14ac:dyDescent="0.25">
      <c r="A131" s="1">
        <f>PARAMETERS!I132</f>
        <v>646</v>
      </c>
      <c r="B131" s="3">
        <f>PARAMETERS!J132</f>
        <v>0.32230000000000003</v>
      </c>
      <c r="C131" s="3">
        <f>CHL*PARAMETERS!M132</f>
        <v>1.3838530873720812E-4</v>
      </c>
      <c r="D131" s="3">
        <f>NAP*PARAMETERS!$B$21*EXP(-PARAMETERS!$B$22*(A131-443))</f>
        <v>3.3759341347832541E-5</v>
      </c>
      <c r="E131" s="3">
        <f>CDOM*EXP(-PARAMETERS!$B$23*(CALCULATIONS!A131-443))</f>
        <v>2.807712755800086E-5</v>
      </c>
      <c r="F131" s="10">
        <f t="shared" si="5"/>
        <v>0.32250022177764304</v>
      </c>
      <c r="G131" s="3">
        <f>PARAMETERS!$B$16*PARAMETERS!$B$17*POWER(A131/500,PARAMETERS!$B$18)</f>
        <v>4.7611123857436348E-4</v>
      </c>
      <c r="H131" s="3">
        <f t="shared" si="4"/>
        <v>1.2600600071822183E-4</v>
      </c>
      <c r="I131" s="3">
        <f>PARAMETERS!$B$24*NAP*POWER(A131/555,PARAMETERS!$B$25)</f>
        <v>1.0200000000000001E-4</v>
      </c>
      <c r="J131" s="10">
        <f t="shared" si="6"/>
        <v>7.0411723929258529E-4</v>
      </c>
      <c r="K131" s="11">
        <f>PARAMETERS!$B$13*CALCULATIONS!J131/(CALCULATIONS!F131+CALCULATIONS!J131)</f>
        <v>4.7155992459336826E-4</v>
      </c>
      <c r="L131" s="11">
        <f t="shared" si="7"/>
        <v>1.5010218592615196E-4</v>
      </c>
      <c r="O131" s="3"/>
      <c r="P131" s="3"/>
      <c r="Q131" s="3"/>
      <c r="R131" s="3"/>
      <c r="S131" s="3"/>
      <c r="T131" s="3"/>
    </row>
    <row r="132" spans="1:20" x14ac:dyDescent="0.25">
      <c r="A132" s="1">
        <f>PARAMETERS!I133</f>
        <v>648</v>
      </c>
      <c r="B132" s="3">
        <f>PARAMETERS!J133</f>
        <v>0.32629999999999998</v>
      </c>
      <c r="C132" s="3">
        <f>CHL*PARAMETERS!M133</f>
        <v>1.4272005975934197E-4</v>
      </c>
      <c r="D132" s="3">
        <f>NAP*PARAMETERS!$B$21*EXP(-PARAMETERS!$B$22*(A132-443))</f>
        <v>3.2938993202601911E-5</v>
      </c>
      <c r="E132" s="3">
        <f>CDOM*EXP(-PARAMETERS!$B$23*(CALCULATIONS!A132-443))</f>
        <v>2.7106004699864014E-5</v>
      </c>
      <c r="F132" s="10">
        <f t="shared" si="5"/>
        <v>0.32650276505766179</v>
      </c>
      <c r="G132" s="3">
        <f>PARAMETERS!$B$16*PARAMETERS!$B$17*POWER(A132/500,PARAMETERS!$B$18)</f>
        <v>4.6979553564677369E-4</v>
      </c>
      <c r="H132" s="3">
        <f t="shared" si="4"/>
        <v>1.2564559205042962E-4</v>
      </c>
      <c r="I132" s="3">
        <f>PARAMETERS!$B$24*NAP*POWER(A132/555,PARAMETERS!$B$25)</f>
        <v>1.0200000000000001E-4</v>
      </c>
      <c r="J132" s="10">
        <f t="shared" si="6"/>
        <v>6.9744112769720332E-4</v>
      </c>
      <c r="K132" s="11">
        <f>PARAMETERS!$B$13*CALCULATIONS!J132/(CALCULATIONS!F132+CALCULATIONS!J132)</f>
        <v>4.6138458425979372E-4</v>
      </c>
      <c r="L132" s="11">
        <f t="shared" si="7"/>
        <v>1.4686327450269052E-4</v>
      </c>
      <c r="O132" s="3"/>
      <c r="P132" s="3"/>
      <c r="Q132" s="3"/>
      <c r="R132" s="3"/>
      <c r="S132" s="3"/>
      <c r="T132" s="3"/>
    </row>
    <row r="133" spans="1:20" x14ac:dyDescent="0.25">
      <c r="A133" s="1">
        <f>PARAMETERS!I134</f>
        <v>650</v>
      </c>
      <c r="B133" s="3">
        <f>PARAMETERS!J134</f>
        <v>0.33149999999999996</v>
      </c>
      <c r="C133" s="3">
        <f>CHL*PARAMETERS!M134</f>
        <v>1.4691904354034594E-4</v>
      </c>
      <c r="D133" s="3">
        <f>NAP*PARAMETERS!$B$21*EXP(-PARAMETERS!$B$22*(A133-443))</f>
        <v>3.2138579423757444E-5</v>
      </c>
      <c r="E133" s="3">
        <f>CDOM*EXP(-PARAMETERS!$B$23*(CALCULATIONS!A133-443))</f>
        <v>2.6168470733740684E-5</v>
      </c>
      <c r="F133" s="10">
        <f t="shared" si="5"/>
        <v>0.33170522609369779</v>
      </c>
      <c r="G133" s="3">
        <f>PARAMETERS!$B$16*PARAMETERS!$B$17*POWER(A133/500,PARAMETERS!$B$18)</f>
        <v>4.6358268885243937E-4</v>
      </c>
      <c r="H133" s="3">
        <f t="shared" si="4"/>
        <v>1.2528756707361972E-4</v>
      </c>
      <c r="I133" s="3">
        <f>PARAMETERS!$B$24*NAP*POWER(A133/555,PARAMETERS!$B$25)</f>
        <v>1.0200000000000001E-4</v>
      </c>
      <c r="J133" s="10">
        <f t="shared" si="6"/>
        <v>6.908702559260591E-4</v>
      </c>
      <c r="K133" s="11">
        <f>PARAMETERS!$B$13*CALCULATIONS!J133/(CALCULATIONS!F133+CALCULATIONS!J133)</f>
        <v>4.4989345504261262E-4</v>
      </c>
      <c r="L133" s="11">
        <f t="shared" si="7"/>
        <v>1.4320553446944638E-4</v>
      </c>
      <c r="O133" s="3"/>
      <c r="P133" s="3"/>
      <c r="Q133" s="3"/>
      <c r="R133" s="3"/>
      <c r="S133" s="3"/>
      <c r="T133" s="3"/>
    </row>
    <row r="134" spans="1:20" x14ac:dyDescent="0.25">
      <c r="A134" s="1">
        <f>PARAMETERS!I135</f>
        <v>652</v>
      </c>
      <c r="B134" s="3">
        <f>PARAMETERS!J135</f>
        <v>0.3362</v>
      </c>
      <c r="C134" s="3">
        <f>CHL*PARAMETERS!M135</f>
        <v>1.5115374985330844E-4</v>
      </c>
      <c r="D134" s="3">
        <f>NAP*PARAMETERS!$B$21*EXP(-PARAMETERS!$B$22*(A134-443))</f>
        <v>3.1357615608469045E-5</v>
      </c>
      <c r="E134" s="3">
        <f>CDOM*EXP(-PARAMETERS!$B$23*(CALCULATIONS!A134-443))</f>
        <v>2.5263363897597133E-5</v>
      </c>
      <c r="F134" s="10">
        <f t="shared" si="5"/>
        <v>0.33640777472935934</v>
      </c>
      <c r="G134" s="3">
        <f>PARAMETERS!$B$16*PARAMETERS!$B$17*POWER(A134/500,PARAMETERS!$B$18)</f>
        <v>4.5747071431056704E-4</v>
      </c>
      <c r="H134" s="3">
        <f t="shared" si="4"/>
        <v>1.2493190276050416E-4</v>
      </c>
      <c r="I134" s="3">
        <f>PARAMETERS!$B$24*NAP*POWER(A134/555,PARAMETERS!$B$25)</f>
        <v>1.0200000000000001E-4</v>
      </c>
      <c r="J134" s="10">
        <f t="shared" si="6"/>
        <v>6.8440261707107119E-4</v>
      </c>
      <c r="K134" s="11">
        <f>PARAMETERS!$B$13*CALCULATIONS!J134/(CALCULATIONS!F134+CALCULATIONS!J134)</f>
        <v>4.3947288210916777E-4</v>
      </c>
      <c r="L134" s="11">
        <f t="shared" si="7"/>
        <v>1.3988856308503166E-4</v>
      </c>
      <c r="O134" s="3"/>
      <c r="P134" s="3"/>
      <c r="Q134" s="3"/>
      <c r="R134" s="3"/>
      <c r="S134" s="3"/>
      <c r="T134" s="3"/>
    </row>
    <row r="135" spans="1:20" x14ac:dyDescent="0.25">
      <c r="A135" s="1">
        <f>PARAMETERS!I136</f>
        <v>654</v>
      </c>
      <c r="B135" s="3">
        <f>PARAMETERS!J136</f>
        <v>0.34229999999999999</v>
      </c>
      <c r="C135" s="3">
        <f>CHL*PARAMETERS!M136</f>
        <v>1.5753969729025049E-4</v>
      </c>
      <c r="D135" s="3">
        <f>NAP*PARAMETERS!$B$21*EXP(-PARAMETERS!$B$22*(A135-443))</f>
        <v>3.0595629124840142E-5</v>
      </c>
      <c r="E135" s="3">
        <f>CDOM*EXP(-PARAMETERS!$B$23*(CALCULATIONS!A135-443))</f>
        <v>2.4389562612059479E-5</v>
      </c>
      <c r="F135" s="10">
        <f t="shared" si="5"/>
        <v>0.34251252488902717</v>
      </c>
      <c r="G135" s="3">
        <f>PARAMETERS!$B$16*PARAMETERS!$B$17*POWER(A135/500,PARAMETERS!$B$18)</f>
        <v>4.5145767232491454E-4</v>
      </c>
      <c r="H135" s="3">
        <f t="shared" si="4"/>
        <v>1.2457857637597014E-4</v>
      </c>
      <c r="I135" s="3">
        <f>PARAMETERS!$B$24*NAP*POWER(A135/555,PARAMETERS!$B$25)</f>
        <v>1.0200000000000001E-4</v>
      </c>
      <c r="J135" s="10">
        <f t="shared" si="6"/>
        <v>6.7803624870088467E-4</v>
      </c>
      <c r="K135" s="11">
        <f>PARAMETERS!$B$13*CALCULATIONS!J135/(CALCULATIONS!F135+CALCULATIONS!J135)</f>
        <v>4.2764822345616794E-4</v>
      </c>
      <c r="L135" s="11">
        <f t="shared" si="7"/>
        <v>1.3612465733503311E-4</v>
      </c>
      <c r="O135" s="3"/>
      <c r="P135" s="3"/>
      <c r="Q135" s="3"/>
      <c r="R135" s="3"/>
      <c r="S135" s="3"/>
      <c r="T135" s="3"/>
    </row>
    <row r="136" spans="1:20" x14ac:dyDescent="0.25">
      <c r="A136" s="1">
        <f>PARAMETERS!I137</f>
        <v>656</v>
      </c>
      <c r="B136" s="3">
        <f>PARAMETERS!J137</f>
        <v>0.3508</v>
      </c>
      <c r="C136" s="3">
        <f>CHL*PARAMETERS!M137</f>
        <v>1.6661864767496731E-4</v>
      </c>
      <c r="D136" s="3">
        <f>NAP*PARAMETERS!$B$21*EXP(-PARAMETERS!$B$22*(A136-443))</f>
        <v>2.9852158825875369E-5</v>
      </c>
      <c r="E136" s="3">
        <f>CDOM*EXP(-PARAMETERS!$B$23*(CALCULATIONS!A136-443))</f>
        <v>2.3545984090588477E-5</v>
      </c>
      <c r="F136" s="10">
        <f t="shared" si="5"/>
        <v>0.35102001679059147</v>
      </c>
      <c r="G136" s="3">
        <f>PARAMETERS!$B$16*PARAMETERS!$B$17*POWER(A136/500,PARAMETERS!$B$18)</f>
        <v>4.4554166626868148E-4</v>
      </c>
      <c r="H136" s="3">
        <f t="shared" ref="H136:H199" si="8">(0.002+0.01*MAX(0,(0.5-0.25*LOG10(CHL)))*POWER(A136/550,$H$3))*0.416*POWER(CHL,0.766)</f>
        <v>1.2422756547249365E-4</v>
      </c>
      <c r="I136" s="3">
        <f>PARAMETERS!$B$24*NAP*POWER(A136/555,PARAMETERS!$B$25)</f>
        <v>1.0200000000000001E-4</v>
      </c>
      <c r="J136" s="10">
        <f t="shared" si="6"/>
        <v>6.7176923174117509E-4</v>
      </c>
      <c r="K136" s="11">
        <f>PARAMETERS!$B$13*CALCULATIONS!J136/(CALCULATIONS!F136+CALCULATIONS!J136)</f>
        <v>4.1345379051101189E-4</v>
      </c>
      <c r="L136" s="11">
        <f t="shared" si="7"/>
        <v>1.3160642899981702E-4</v>
      </c>
      <c r="O136" s="3"/>
      <c r="P136" s="3"/>
      <c r="Q136" s="3"/>
      <c r="R136" s="3"/>
      <c r="S136" s="3"/>
      <c r="T136" s="3"/>
    </row>
    <row r="137" spans="1:20" x14ac:dyDescent="0.25">
      <c r="A137" s="1">
        <f>PARAMETERS!I138</f>
        <v>658</v>
      </c>
      <c r="B137" s="3">
        <f>PARAMETERS!J138</f>
        <v>0.36359999999999998</v>
      </c>
      <c r="C137" s="3">
        <f>CHL*PARAMETERS!M138</f>
        <v>1.8073128618993506E-4</v>
      </c>
      <c r="D137" s="3">
        <f>NAP*PARAMETERS!$B$21*EXP(-PARAMETERS!$B$22*(A137-443))</f>
        <v>2.912675477039875E-5</v>
      </c>
      <c r="E137" s="3">
        <f>CDOM*EXP(-PARAMETERS!$B$23*(CALCULATIONS!A137-443))</f>
        <v>2.2731582997725206E-5</v>
      </c>
      <c r="F137" s="10">
        <f t="shared" ref="F137:F200" si="9">SUM(B137:E137)</f>
        <v>0.36383258962395804</v>
      </c>
      <c r="G137" s="3">
        <f>PARAMETERS!$B$16*PARAMETERS!$B$17*POWER(A137/500,PARAMETERS!$B$18)</f>
        <v>4.3972084150083196E-4</v>
      </c>
      <c r="H137" s="3">
        <f t="shared" si="8"/>
        <v>1.238788478856385E-4</v>
      </c>
      <c r="I137" s="3">
        <f>PARAMETERS!$B$24*NAP*POWER(A137/555,PARAMETERS!$B$25)</f>
        <v>1.0200000000000001E-4</v>
      </c>
      <c r="J137" s="10">
        <f t="shared" ref="J137:J200" si="10">SUM(G137:I137)</f>
        <v>6.6559968938647044E-4</v>
      </c>
      <c r="K137" s="11">
        <f>PARAMETERS!$B$13*CALCULATIONS!J137/(CALCULATIONS!F137+CALCULATIONS!J137)</f>
        <v>3.9526360741636002E-4</v>
      </c>
      <c r="L137" s="11">
        <f t="shared" ref="L137:L200" si="11">K137/PI()</f>
        <v>1.2581631388929607E-4</v>
      </c>
      <c r="O137" s="3"/>
      <c r="P137" s="3"/>
      <c r="Q137" s="3"/>
      <c r="R137" s="3"/>
      <c r="S137" s="3"/>
      <c r="T137" s="3"/>
    </row>
    <row r="138" spans="1:20" x14ac:dyDescent="0.25">
      <c r="A138" s="1">
        <f>PARAMETERS!I139</f>
        <v>660</v>
      </c>
      <c r="B138" s="3">
        <f>PARAMETERS!J139</f>
        <v>0.37909999999999999</v>
      </c>
      <c r="C138" s="3">
        <f>CHL*PARAMETERS!M139</f>
        <v>2.0076954758585793E-4</v>
      </c>
      <c r="D138" s="3">
        <f>NAP*PARAMETERS!$B$21*EXP(-PARAMETERS!$B$22*(A138-443))</f>
        <v>2.8418977950753589E-5</v>
      </c>
      <c r="E138" s="3">
        <f>CDOM*EXP(-PARAMETERS!$B$23*(CALCULATIONS!A138-443))</f>
        <v>2.194535015374485E-5</v>
      </c>
      <c r="F138" s="10">
        <f t="shared" si="9"/>
        <v>0.37935113387569036</v>
      </c>
      <c r="G138" s="3">
        <f>PARAMETERS!$B$16*PARAMETERS!$B$17*POWER(A138/500,PARAMETERS!$B$18)</f>
        <v>4.3399338431286563E-4</v>
      </c>
      <c r="H138" s="3">
        <f t="shared" si="8"/>
        <v>1.2353240172963963E-4</v>
      </c>
      <c r="I138" s="3">
        <f>PARAMETERS!$B$24*NAP*POWER(A138/555,PARAMETERS!$B$25)</f>
        <v>1.0200000000000001E-4</v>
      </c>
      <c r="J138" s="10">
        <f t="shared" si="10"/>
        <v>6.5952578604250528E-4</v>
      </c>
      <c r="K138" s="11">
        <f>PARAMETERS!$B$13*CALCULATIONS!J138/(CALCULATIONS!F138+CALCULATIONS!J138)</f>
        <v>3.7566877236090067E-4</v>
      </c>
      <c r="L138" s="11">
        <f t="shared" si="11"/>
        <v>1.1957908417300266E-4</v>
      </c>
      <c r="O138" s="3"/>
      <c r="P138" s="3"/>
      <c r="Q138" s="3"/>
      <c r="R138" s="3"/>
      <c r="S138" s="3"/>
      <c r="T138" s="3"/>
    </row>
    <row r="139" spans="1:20" x14ac:dyDescent="0.25">
      <c r="A139" s="1">
        <f>PARAMETERS!I140</f>
        <v>662</v>
      </c>
      <c r="B139" s="3">
        <f>PARAMETERS!J140</f>
        <v>0.39309999999999995</v>
      </c>
      <c r="C139" s="3">
        <f>CHL*PARAMETERS!M140</f>
        <v>2.2939804389502107E-4</v>
      </c>
      <c r="D139" s="3">
        <f>NAP*PARAMETERS!$B$21*EXP(-PARAMETERS!$B$22*(A139-443))</f>
        <v>2.772840002711919E-5</v>
      </c>
      <c r="E139" s="3">
        <f>CDOM*EXP(-PARAMETERS!$B$23*(CALCULATIONS!A139-443))</f>
        <v>2.1186311284113554E-5</v>
      </c>
      <c r="F139" s="10">
        <f t="shared" si="9"/>
        <v>0.39337831275520624</v>
      </c>
      <c r="G139" s="3">
        <f>PARAMETERS!$B$16*PARAMETERS!$B$17*POWER(A139/500,PARAMETERS!$B$18)</f>
        <v>4.2835752090510028E-4</v>
      </c>
      <c r="H139" s="3">
        <f t="shared" si="8"/>
        <v>1.2318820539306821E-4</v>
      </c>
      <c r="I139" s="3">
        <f>PARAMETERS!$B$24*NAP*POWER(A139/555,PARAMETERS!$B$25)</f>
        <v>1.0200000000000001E-4</v>
      </c>
      <c r="J139" s="10">
        <f t="shared" si="10"/>
        <v>6.5354572629816848E-4</v>
      </c>
      <c r="K139" s="11">
        <f>PARAMETERS!$B$13*CALCULATIONS!J139/(CALCULATIONS!F139+CALCULATIONS!J139)</f>
        <v>3.5901594435541761E-4</v>
      </c>
      <c r="L139" s="11">
        <f t="shared" si="11"/>
        <v>1.1427832438593911E-4</v>
      </c>
      <c r="O139" s="3"/>
      <c r="P139" s="3"/>
      <c r="Q139" s="3"/>
      <c r="R139" s="3"/>
      <c r="S139" s="3"/>
      <c r="T139" s="3"/>
    </row>
    <row r="140" spans="1:20" x14ac:dyDescent="0.25">
      <c r="A140" s="1">
        <f>PARAMETERS!I141</f>
        <v>664</v>
      </c>
      <c r="B140" s="3">
        <f>PARAMETERS!J141</f>
        <v>0.40189999999999998</v>
      </c>
      <c r="C140" s="3">
        <f>CHL*PARAMETERS!M141</f>
        <v>2.6324643112455491E-4</v>
      </c>
      <c r="D140" s="3">
        <f>NAP*PARAMETERS!$B$21*EXP(-PARAMETERS!$B$22*(A140-443))</f>
        <v>2.7054603068283661E-5</v>
      </c>
      <c r="E140" s="3">
        <f>CDOM*EXP(-PARAMETERS!$B$23*(CALCULATIONS!A140-443))</f>
        <v>2.0453525812198617E-5</v>
      </c>
      <c r="F140" s="10">
        <f t="shared" si="9"/>
        <v>0.40221075456000505</v>
      </c>
      <c r="G140" s="3">
        <f>PARAMETERS!$B$16*PARAMETERS!$B$17*POWER(A140/500,PARAMETERS!$B$18)</f>
        <v>4.2281151639154393E-4</v>
      </c>
      <c r="H140" s="3">
        <f t="shared" si="8"/>
        <v>1.2284623753457718E-4</v>
      </c>
      <c r="I140" s="3">
        <f>PARAMETERS!$B$24*NAP*POWER(A140/555,PARAMETERS!$B$25)</f>
        <v>1.0200000000000001E-4</v>
      </c>
      <c r="J140" s="10">
        <f t="shared" si="10"/>
        <v>6.4765775392612113E-4</v>
      </c>
      <c r="K140" s="11">
        <f>PARAMETERS!$B$13*CALCULATIONS!J140/(CALCULATIONS!F140+CALCULATIONS!J140)</f>
        <v>3.4798636472070931E-4</v>
      </c>
      <c r="L140" s="11">
        <f t="shared" si="11"/>
        <v>1.1076750014776006E-4</v>
      </c>
      <c r="O140" s="3"/>
      <c r="P140" s="3"/>
      <c r="Q140" s="3"/>
      <c r="R140" s="3"/>
      <c r="S140" s="3"/>
      <c r="T140" s="3"/>
    </row>
    <row r="141" spans="1:20" x14ac:dyDescent="0.25">
      <c r="A141" s="1">
        <f>PARAMETERS!I142</f>
        <v>666</v>
      </c>
      <c r="B141" s="3">
        <f>PARAMETERS!J142</f>
        <v>0.40720000000000001</v>
      </c>
      <c r="C141" s="3">
        <f>CHL*PARAMETERS!M142</f>
        <v>3.0257000750532622E-4</v>
      </c>
      <c r="D141" s="3">
        <f>NAP*PARAMETERS!$B$21*EXP(-PARAMETERS!$B$22*(A141-443))</f>
        <v>2.639717929871588E-5</v>
      </c>
      <c r="E141" s="3">
        <f>CDOM*EXP(-PARAMETERS!$B$23*(CALCULATIONS!A141-443))</f>
        <v>1.9746085693736131E-5</v>
      </c>
      <c r="F141" s="10">
        <f t="shared" si="9"/>
        <v>0.40754871327249775</v>
      </c>
      <c r="G141" s="3">
        <f>PARAMETERS!$B$16*PARAMETERS!$B$17*POWER(A141/500,PARAMETERS!$B$18)</f>
        <v>4.1735367383248354E-4</v>
      </c>
      <c r="H141" s="3">
        <f t="shared" si="8"/>
        <v>1.2250647707872506E-4</v>
      </c>
      <c r="I141" s="3">
        <f>PARAMETERS!$B$24*NAP*POWER(A141/555,PARAMETERS!$B$25)</f>
        <v>1.0200000000000001E-4</v>
      </c>
      <c r="J141" s="10">
        <f t="shared" si="10"/>
        <v>6.4186015091120862E-4</v>
      </c>
      <c r="K141" s="11">
        <f>PARAMETERS!$B$13*CALCULATIONS!J141/(CALCULATIONS!F141+CALCULATIONS!J141)</f>
        <v>3.4036628729077964E-4</v>
      </c>
      <c r="L141" s="11">
        <f t="shared" si="11"/>
        <v>1.0834195416832746E-4</v>
      </c>
      <c r="O141" s="3"/>
      <c r="P141" s="3"/>
      <c r="Q141" s="3"/>
      <c r="R141" s="3"/>
      <c r="S141" s="3"/>
      <c r="T141" s="3"/>
    </row>
    <row r="142" spans="1:20" x14ac:dyDescent="0.25">
      <c r="A142" s="1">
        <f>PARAMETERS!I143</f>
        <v>668</v>
      </c>
      <c r="B142" s="3">
        <f>PARAMETERS!J143</f>
        <v>0.4098</v>
      </c>
      <c r="C142" s="3">
        <f>CHL*PARAMETERS!M143</f>
        <v>3.4002642379497866E-4</v>
      </c>
      <c r="D142" s="3">
        <f>NAP*PARAMETERS!$B$21*EXP(-PARAMETERS!$B$22*(A142-443))</f>
        <v>2.5755730851783657E-5</v>
      </c>
      <c r="E142" s="3">
        <f>CDOM*EXP(-PARAMETERS!$B$23*(CALCULATIONS!A142-443))</f>
        <v>1.9063114291611626E-5</v>
      </c>
      <c r="F142" s="10">
        <f t="shared" si="9"/>
        <v>0.41018484526893839</v>
      </c>
      <c r="G142" s="3">
        <f>PARAMETERS!$B$16*PARAMETERS!$B$17*POWER(A142/500,PARAMETERS!$B$18)</f>
        <v>4.1198233329393252E-4</v>
      </c>
      <c r="H142" s="3">
        <f t="shared" si="8"/>
        <v>1.2216890321187701E-4</v>
      </c>
      <c r="I142" s="3">
        <f>PARAMETERS!$B$24*NAP*POWER(A142/555,PARAMETERS!$B$25)</f>
        <v>1.0200000000000001E-4</v>
      </c>
      <c r="J142" s="10">
        <f t="shared" si="10"/>
        <v>6.3615123650580957E-4</v>
      </c>
      <c r="K142" s="11">
        <f>PARAMETERS!$B$13*CALCULATIONS!J142/(CALCULATIONS!F142+CALCULATIONS!J142)</f>
        <v>3.3517902906013875E-4</v>
      </c>
      <c r="L142" s="11">
        <f t="shared" si="11"/>
        <v>1.0669079859132623E-4</v>
      </c>
      <c r="O142" s="3"/>
      <c r="P142" s="3"/>
      <c r="Q142" s="3"/>
      <c r="R142" s="3"/>
      <c r="S142" s="3"/>
      <c r="T142" s="3"/>
    </row>
    <row r="143" spans="1:20" x14ac:dyDescent="0.25">
      <c r="A143" s="1">
        <f>PARAMETERS!I144</f>
        <v>670</v>
      </c>
      <c r="B143" s="3">
        <f>PARAMETERS!J144</f>
        <v>0.41219999999999996</v>
      </c>
      <c r="C143" s="3">
        <f>CHL*PARAMETERS!M144</f>
        <v>3.7537193938054318E-4</v>
      </c>
      <c r="D143" s="3">
        <f>NAP*PARAMETERS!$B$21*EXP(-PARAMETERS!$B$22*(A143-443))</f>
        <v>2.5129869528968582E-5</v>
      </c>
      <c r="E143" s="3">
        <f>CDOM*EXP(-PARAMETERS!$B$23*(CALCULATIONS!A143-443))</f>
        <v>1.8403765289559459E-5</v>
      </c>
      <c r="F143" s="10">
        <f t="shared" si="9"/>
        <v>0.412618905574199</v>
      </c>
      <c r="G143" s="3">
        <f>PARAMETERS!$B$16*PARAMETERS!$B$17*POWER(A143/500,PARAMETERS!$B$18)</f>
        <v>4.0669587093311566E-4</v>
      </c>
      <c r="H143" s="3">
        <f t="shared" si="8"/>
        <v>1.2183349537818086E-4</v>
      </c>
      <c r="I143" s="3">
        <f>PARAMETERS!$B$24*NAP*POWER(A143/555,PARAMETERS!$B$25)</f>
        <v>1.0200000000000001E-4</v>
      </c>
      <c r="J143" s="10">
        <f t="shared" si="10"/>
        <v>6.3052936631129652E-4</v>
      </c>
      <c r="K143" s="11">
        <f>PARAMETERS!$B$13*CALCULATIONS!J143/(CALCULATIONS!F143+CALCULATIONS!J143)</f>
        <v>3.3026469039793677E-4</v>
      </c>
      <c r="L143" s="11">
        <f t="shared" si="11"/>
        <v>1.0512651601109213E-4</v>
      </c>
      <c r="O143" s="3"/>
      <c r="P143" s="3"/>
      <c r="Q143" s="3"/>
      <c r="R143" s="3"/>
      <c r="S143" s="3"/>
      <c r="T143" s="3"/>
    </row>
    <row r="144" spans="1:20" x14ac:dyDescent="0.25">
      <c r="A144" s="1">
        <f>PARAMETERS!I145</f>
        <v>672</v>
      </c>
      <c r="B144" s="3">
        <f>PARAMETERS!J145</f>
        <v>0.41499999999999998</v>
      </c>
      <c r="C144" s="3">
        <f>CHL*PARAMETERS!M145</f>
        <v>3.9853477819961947E-4</v>
      </c>
      <c r="D144" s="3">
        <f>NAP*PARAMETERS!$B$21*EXP(-PARAMETERS!$B$22*(A144-443))</f>
        <v>2.451921656493199E-5</v>
      </c>
      <c r="E144" s="3">
        <f>CDOM*EXP(-PARAMETERS!$B$23*(CALCULATIONS!A144-443))</f>
        <v>1.7767221643434801E-5</v>
      </c>
      <c r="F144" s="10">
        <f t="shared" si="9"/>
        <v>0.41544082121640796</v>
      </c>
      <c r="G144" s="3">
        <f>PARAMETERS!$B$16*PARAMETERS!$B$17*POWER(A144/500,PARAMETERS!$B$18)</f>
        <v>4.014926981091963E-4</v>
      </c>
      <c r="H144" s="3">
        <f t="shared" si="8"/>
        <v>1.2150023327561685E-4</v>
      </c>
      <c r="I144" s="3">
        <f>PARAMETERS!$B$24*NAP*POWER(A144/555,PARAMETERS!$B$25)</f>
        <v>1.0200000000000001E-4</v>
      </c>
      <c r="J144" s="10">
        <f t="shared" si="10"/>
        <v>6.2499293138481313E-4</v>
      </c>
      <c r="K144" s="11">
        <f>PARAMETERS!$B$13*CALCULATIONS!J144/(CALCULATIONS!F144+CALCULATIONS!J144)</f>
        <v>3.2514880820001325E-4</v>
      </c>
      <c r="L144" s="11">
        <f t="shared" si="11"/>
        <v>1.034980801309414E-4</v>
      </c>
      <c r="O144" s="3"/>
      <c r="P144" s="3"/>
      <c r="Q144" s="3"/>
      <c r="R144" s="3"/>
      <c r="S144" s="3"/>
      <c r="T144" s="3"/>
    </row>
    <row r="145" spans="1:20" x14ac:dyDescent="0.25">
      <c r="A145" s="1">
        <f>PARAMETERS!I146</f>
        <v>674</v>
      </c>
      <c r="B145" s="3">
        <f>PARAMETERS!J146</f>
        <v>0.41729999999999995</v>
      </c>
      <c r="C145" s="3">
        <f>CHL*PARAMETERS!M146</f>
        <v>4.1418661256727006E-4</v>
      </c>
      <c r="D145" s="3">
        <f>NAP*PARAMETERS!$B$21*EXP(-PARAMETERS!$B$22*(A145-443))</f>
        <v>2.3923402398289736E-5</v>
      </c>
      <c r="E145" s="3">
        <f>CDOM*EXP(-PARAMETERS!$B$23*(CALCULATIONS!A145-443))</f>
        <v>1.7152694568758798E-5</v>
      </c>
      <c r="F145" s="10">
        <f t="shared" si="9"/>
        <v>0.41775526270953423</v>
      </c>
      <c r="G145" s="3">
        <f>PARAMETERS!$B$16*PARAMETERS!$B$17*POWER(A145/500,PARAMETERS!$B$18)</f>
        <v>3.9637126051847514E-4</v>
      </c>
      <c r="H145" s="3">
        <f t="shared" si="8"/>
        <v>1.2116909685211958E-4</v>
      </c>
      <c r="I145" s="3">
        <f>PARAMETERS!$B$24*NAP*POWER(A145/555,PARAMETERS!$B$25)</f>
        <v>1.0200000000000001E-4</v>
      </c>
      <c r="J145" s="10">
        <f t="shared" si="10"/>
        <v>6.1954035737059473E-4</v>
      </c>
      <c r="K145" s="11">
        <f>PARAMETERS!$B$13*CALCULATIONS!J145/(CALCULATIONS!F145+CALCULATIONS!J145)</f>
        <v>3.2053331536783543E-4</v>
      </c>
      <c r="L145" s="11">
        <f t="shared" si="11"/>
        <v>1.0202892313284879E-4</v>
      </c>
      <c r="O145" s="3"/>
      <c r="P145" s="3"/>
      <c r="Q145" s="3"/>
      <c r="R145" s="3"/>
      <c r="S145" s="3"/>
      <c r="T145" s="3"/>
    </row>
    <row r="146" spans="1:20" x14ac:dyDescent="0.25">
      <c r="A146" s="1">
        <f>PARAMETERS!I147</f>
        <v>676</v>
      </c>
      <c r="B146" s="3">
        <f>PARAMETERS!J147</f>
        <v>0.42230000000000001</v>
      </c>
      <c r="C146" s="3">
        <f>CHL*PARAMETERS!M147</f>
        <v>4.1593933742073923E-4</v>
      </c>
      <c r="D146" s="3">
        <f>NAP*PARAMETERS!$B$21*EXP(-PARAMETERS!$B$22*(A146-443))</f>
        <v>2.3342066447957191E-5</v>
      </c>
      <c r="E146" s="3">
        <f>CDOM*EXP(-PARAMETERS!$B$23*(CALCULATIONS!A146-443))</f>
        <v>1.6559422563282039E-5</v>
      </c>
      <c r="F146" s="10">
        <f t="shared" si="9"/>
        <v>0.42275584082643197</v>
      </c>
      <c r="G146" s="3">
        <f>PARAMETERS!$B$16*PARAMETERS!$B$17*POWER(A146/500,PARAMETERS!$B$18)</f>
        <v>3.9133003735331858E-4</v>
      </c>
      <c r="H146" s="3">
        <f t="shared" si="8"/>
        <v>1.2084006630177017E-4</v>
      </c>
      <c r="I146" s="3">
        <f>PARAMETERS!$B$24*NAP*POWER(A146/555,PARAMETERS!$B$25)</f>
        <v>1.0200000000000001E-4</v>
      </c>
      <c r="J146" s="10">
        <f t="shared" si="10"/>
        <v>6.1417010365508878E-4</v>
      </c>
      <c r="K146" s="11">
        <f>PARAMETERS!$B$13*CALCULATIONS!J146/(CALCULATIONS!F146+CALCULATIONS!J146)</f>
        <v>3.1400580355819688E-4</v>
      </c>
      <c r="L146" s="11">
        <f t="shared" si="11"/>
        <v>9.9951151591659384E-5</v>
      </c>
      <c r="O146" s="3"/>
      <c r="P146" s="3"/>
      <c r="Q146" s="3"/>
      <c r="R146" s="3"/>
      <c r="S146" s="3"/>
      <c r="T146" s="3"/>
    </row>
    <row r="147" spans="1:20" x14ac:dyDescent="0.25">
      <c r="A147" s="1">
        <f>PARAMETERS!I148</f>
        <v>678</v>
      </c>
      <c r="B147" s="3">
        <f>PARAMETERS!J148</f>
        <v>0.42700000000000005</v>
      </c>
      <c r="C147" s="3">
        <f>CHL*PARAMETERS!M148</f>
        <v>3.9953728031667107E-4</v>
      </c>
      <c r="D147" s="3">
        <f>NAP*PARAMETERS!$B$21*EXP(-PARAMETERS!$B$22*(A147-443))</f>
        <v>2.2774856894928951E-5</v>
      </c>
      <c r="E147" s="3">
        <f>CDOM*EXP(-PARAMETERS!$B$23*(CALCULATIONS!A147-443))</f>
        <v>1.5986670463355501E-5</v>
      </c>
      <c r="F147" s="10">
        <f t="shared" si="9"/>
        <v>0.42743829880767503</v>
      </c>
      <c r="G147" s="3">
        <f>PARAMETERS!$B$16*PARAMETERS!$B$17*POWER(A147/500,PARAMETERS!$B$18)</f>
        <v>3.8636754048409615E-4</v>
      </c>
      <c r="H147" s="3">
        <f t="shared" si="8"/>
        <v>1.2051312206105787E-4</v>
      </c>
      <c r="I147" s="3">
        <f>PARAMETERS!$B$24*NAP*POWER(A147/555,PARAMETERS!$B$25)</f>
        <v>1.0200000000000001E-4</v>
      </c>
      <c r="J147" s="10">
        <f t="shared" si="10"/>
        <v>6.0888066254515406E-4</v>
      </c>
      <c r="K147" s="11">
        <f>PARAMETERS!$B$13*CALCULATIONS!J147/(CALCULATIONS!F147+CALCULATIONS!J147)</f>
        <v>3.0789996278132216E-4</v>
      </c>
      <c r="L147" s="11">
        <f t="shared" si="11"/>
        <v>9.8007602108916042E-5</v>
      </c>
      <c r="O147" s="3"/>
      <c r="P147" s="3"/>
      <c r="Q147" s="3"/>
      <c r="R147" s="3"/>
      <c r="S147" s="3"/>
      <c r="T147" s="3"/>
    </row>
    <row r="148" spans="1:20" x14ac:dyDescent="0.25">
      <c r="A148" s="1">
        <f>PARAMETERS!I149</f>
        <v>680</v>
      </c>
      <c r="B148" s="3">
        <f>PARAMETERS!J149</f>
        <v>0.43179999999999996</v>
      </c>
      <c r="C148" s="3">
        <f>CHL*PARAMETERS!M149</f>
        <v>3.7159630592985434E-4</v>
      </c>
      <c r="D148" s="3">
        <f>NAP*PARAMETERS!$B$21*EXP(-PARAMETERS!$B$22*(A148-443))</f>
        <v>2.2221430469361325E-5</v>
      </c>
      <c r="E148" s="3">
        <f>CDOM*EXP(-PARAMETERS!$B$23*(CALCULATIONS!A148-443))</f>
        <v>1.5433728532939186E-5</v>
      </c>
      <c r="F148" s="10">
        <f t="shared" si="9"/>
        <v>0.43220925146493216</v>
      </c>
      <c r="G148" s="3">
        <f>PARAMETERS!$B$16*PARAMETERS!$B$17*POWER(A148/500,PARAMETERS!$B$18)</f>
        <v>3.8148231366343419E-4</v>
      </c>
      <c r="H148" s="3">
        <f t="shared" si="8"/>
        <v>1.2018824480520907E-4</v>
      </c>
      <c r="I148" s="3">
        <f>PARAMETERS!$B$24*NAP*POWER(A148/555,PARAMETERS!$B$25)</f>
        <v>1.0200000000000001E-4</v>
      </c>
      <c r="J148" s="10">
        <f t="shared" si="10"/>
        <v>6.0367055846864324E-4</v>
      </c>
      <c r="K148" s="11">
        <f>PARAMETERS!$B$13*CALCULATIONS!J148/(CALCULATIONS!F148+CALCULATIONS!J148)</f>
        <v>3.019040030400061E-4</v>
      </c>
      <c r="L148" s="11">
        <f t="shared" si="11"/>
        <v>9.6099028846095139E-5</v>
      </c>
      <c r="O148" s="3"/>
      <c r="P148" s="3"/>
      <c r="Q148" s="3"/>
      <c r="R148" s="3"/>
      <c r="S148" s="3"/>
      <c r="T148" s="3"/>
    </row>
    <row r="149" spans="1:20" x14ac:dyDescent="0.25">
      <c r="A149" s="1">
        <f>PARAMETERS!I150</f>
        <v>682</v>
      </c>
      <c r="B149" s="3">
        <f>PARAMETERS!J150</f>
        <v>0.43810000000000004</v>
      </c>
      <c r="C149" s="3">
        <f>CHL*PARAMETERS!M150</f>
        <v>3.281769602585688E-4</v>
      </c>
      <c r="D149" s="3">
        <f>NAP*PARAMETERS!$B$21*EXP(-PARAMETERS!$B$22*(A149-443))</f>
        <v>2.1681452242828704E-5</v>
      </c>
      <c r="E149" s="3">
        <f>CDOM*EXP(-PARAMETERS!$B$23*(CALCULATIONS!A149-443))</f>
        <v>1.4899911584120105E-5</v>
      </c>
      <c r="F149" s="10">
        <f t="shared" si="9"/>
        <v>0.43846475832408555</v>
      </c>
      <c r="G149" s="3">
        <f>PARAMETERS!$B$16*PARAMETERS!$B$17*POWER(A149/500,PARAMETERS!$B$18)</f>
        <v>3.766729317521116E-4</v>
      </c>
      <c r="H149" s="3">
        <f t="shared" si="8"/>
        <v>1.1986541544458244E-4</v>
      </c>
      <c r="I149" s="3">
        <f>PARAMETERS!$B$24*NAP*POWER(A149/555,PARAMETERS!$B$25)</f>
        <v>1.0200000000000001E-4</v>
      </c>
      <c r="J149" s="10">
        <f t="shared" si="10"/>
        <v>5.9853834719669405E-4</v>
      </c>
      <c r="K149" s="11">
        <f>PARAMETERS!$B$13*CALCULATIONS!J149/(CALCULATIONS!F149+CALCULATIONS!J149)</f>
        <v>2.9507603607834958E-4</v>
      </c>
      <c r="L149" s="11">
        <f t="shared" si="11"/>
        <v>9.392561945966357E-5</v>
      </c>
      <c r="O149" s="3"/>
      <c r="P149" s="3"/>
      <c r="Q149" s="3"/>
      <c r="R149" s="3"/>
      <c r="S149" s="3"/>
      <c r="T149" s="3"/>
    </row>
    <row r="150" spans="1:20" x14ac:dyDescent="0.25">
      <c r="A150" s="1">
        <f>PARAMETERS!I151</f>
        <v>684</v>
      </c>
      <c r="B150" s="3">
        <f>PARAMETERS!J151</f>
        <v>0.44580000000000003</v>
      </c>
      <c r="C150" s="3">
        <f>CHL*PARAMETERS!M151</f>
        <v>2.737587456189626E-4</v>
      </c>
      <c r="D150" s="3">
        <f>NAP*PARAMETERS!$B$21*EXP(-PARAMETERS!$B$22*(A150-443))</f>
        <v>2.1154595425628003E-5</v>
      </c>
      <c r="E150" s="3">
        <f>CDOM*EXP(-PARAMETERS!$B$23*(CALCULATIONS!A150-443))</f>
        <v>1.4384558128049284E-5</v>
      </c>
      <c r="F150" s="10">
        <f t="shared" si="9"/>
        <v>0.44610929789917264</v>
      </c>
      <c r="G150" s="3">
        <f>PARAMETERS!$B$16*PARAMETERS!$B$17*POWER(A150/500,PARAMETERS!$B$18)</f>
        <v>3.7193799996594851E-4</v>
      </c>
      <c r="H150" s="3">
        <f t="shared" si="8"/>
        <v>1.1954461512112913E-4</v>
      </c>
      <c r="I150" s="3">
        <f>PARAMETERS!$B$24*NAP*POWER(A150/555,PARAMETERS!$B$25)</f>
        <v>1.0200000000000001E-4</v>
      </c>
      <c r="J150" s="10">
        <f t="shared" si="10"/>
        <v>5.9348261508707762E-4</v>
      </c>
      <c r="K150" s="11">
        <f>PARAMETERS!$B$13*CALCULATIONS!J150/(CALCULATIONS!F150+CALCULATIONS!J150)</f>
        <v>2.8757984183021409E-4</v>
      </c>
      <c r="L150" s="11">
        <f t="shared" si="11"/>
        <v>9.1539506721727978E-5</v>
      </c>
      <c r="O150" s="3"/>
      <c r="P150" s="3"/>
      <c r="Q150" s="3"/>
      <c r="R150" s="3"/>
      <c r="S150" s="3"/>
      <c r="T150" s="3"/>
    </row>
    <row r="151" spans="1:20" x14ac:dyDescent="0.25">
      <c r="A151" s="1">
        <f>PARAMETERS!I152</f>
        <v>686</v>
      </c>
      <c r="B151" s="3">
        <f>PARAMETERS!J152</f>
        <v>0.45450000000000002</v>
      </c>
      <c r="C151" s="3">
        <f>CHL*PARAMETERS!M152</f>
        <v>2.1949351083136017E-4</v>
      </c>
      <c r="D151" s="3">
        <f>NAP*PARAMETERS!$B$21*EXP(-PARAMETERS!$B$22*(A151-443))</f>
        <v>2.0640541169008672E-5</v>
      </c>
      <c r="E151" s="3">
        <f>CDOM*EXP(-PARAMETERS!$B$23*(CALCULATIONS!A151-443))</f>
        <v>1.3887029555246023E-5</v>
      </c>
      <c r="F151" s="10">
        <f t="shared" si="9"/>
        <v>0.4547540210815556</v>
      </c>
      <c r="G151" s="3">
        <f>PARAMETERS!$B$16*PARAMETERS!$B$17*POWER(A151/500,PARAMETERS!$B$18)</f>
        <v>3.6727615314306066E-4</v>
      </c>
      <c r="H151" s="3">
        <f t="shared" si="8"/>
        <v>1.1922582520491612E-4</v>
      </c>
      <c r="I151" s="3">
        <f>PARAMETERS!$B$24*NAP*POWER(A151/555,PARAMETERS!$B$25)</f>
        <v>1.0200000000000001E-4</v>
      </c>
      <c r="J151" s="10">
        <f t="shared" si="10"/>
        <v>5.8850197834797681E-4</v>
      </c>
      <c r="K151" s="11">
        <f>PARAMETERS!$B$13*CALCULATIONS!J151/(CALCULATIONS!F151+CALCULATIONS!J151)</f>
        <v>2.7975561502375856E-4</v>
      </c>
      <c r="L151" s="11">
        <f t="shared" si="11"/>
        <v>8.9048977977488955E-5</v>
      </c>
      <c r="O151" s="3"/>
      <c r="P151" s="3"/>
      <c r="Q151" s="3"/>
      <c r="R151" s="3"/>
      <c r="S151" s="3"/>
      <c r="T151" s="3"/>
    </row>
    <row r="152" spans="1:20" x14ac:dyDescent="0.25">
      <c r="A152" s="1">
        <f>PARAMETERS!I153</f>
        <v>688</v>
      </c>
      <c r="B152" s="3">
        <f>PARAMETERS!J153</f>
        <v>0.46460000000000001</v>
      </c>
      <c r="C152" s="3">
        <f>CHL*PARAMETERS!M153</f>
        <v>1.6695528518563649E-4</v>
      </c>
      <c r="D152" s="3">
        <f>NAP*PARAMETERS!$B$21*EXP(-PARAMETERS!$B$22*(A152-443))</f>
        <v>2.0138978372208433E-5</v>
      </c>
      <c r="E152" s="3">
        <f>CDOM*EXP(-PARAMETERS!$B$23*(CALCULATIONS!A152-443))</f>
        <v>1.3406709344253556E-5</v>
      </c>
      <c r="F152" s="10">
        <f t="shared" si="9"/>
        <v>0.4648005009729021</v>
      </c>
      <c r="G152" s="3">
        <f>PARAMETERS!$B$16*PARAMETERS!$B$17*POWER(A152/500,PARAMETERS!$B$18)</f>
        <v>3.6268605503086867E-4</v>
      </c>
      <c r="H152" s="3">
        <f t="shared" si="8"/>
        <v>1.1890902729071191E-4</v>
      </c>
      <c r="I152" s="3">
        <f>PARAMETERS!$B$24*NAP*POWER(A152/555,PARAMETERS!$B$25)</f>
        <v>1.0200000000000001E-4</v>
      </c>
      <c r="J152" s="10">
        <f t="shared" si="10"/>
        <v>5.8359508232158055E-4</v>
      </c>
      <c r="K152" s="11">
        <f>PARAMETERS!$B$13*CALCULATIONS!J152/(CALCULATIONS!F152+CALCULATIONS!J152)</f>
        <v>2.7143708363826631E-4</v>
      </c>
      <c r="L152" s="11">
        <f t="shared" si="11"/>
        <v>8.6401107198956622E-5</v>
      </c>
      <c r="O152" s="3"/>
      <c r="P152" s="3"/>
      <c r="Q152" s="3"/>
      <c r="R152" s="3"/>
      <c r="S152" s="3"/>
      <c r="T152" s="3"/>
    </row>
    <row r="153" spans="1:20" x14ac:dyDescent="0.25">
      <c r="A153" s="1">
        <f>PARAMETERS!I154</f>
        <v>690</v>
      </c>
      <c r="B153" s="3">
        <f>PARAMETERS!J154</f>
        <v>0.47600000000000003</v>
      </c>
      <c r="C153" s="3">
        <f>CHL*PARAMETERS!M154</f>
        <v>1.2333265830982159E-4</v>
      </c>
      <c r="D153" s="3">
        <f>NAP*PARAMETERS!$B$21*EXP(-PARAMETERS!$B$22*(A153-443))</f>
        <v>1.964960349417807E-5</v>
      </c>
      <c r="E153" s="3">
        <f>CDOM*EXP(-PARAMETERS!$B$23*(CALCULATIONS!A153-443))</f>
        <v>1.2943002297665326E-5</v>
      </c>
      <c r="F153" s="10">
        <f t="shared" si="9"/>
        <v>0.47615592526410166</v>
      </c>
      <c r="G153" s="3">
        <f>PARAMETERS!$B$16*PARAMETERS!$B$17*POWER(A153/500,PARAMETERS!$B$18)</f>
        <v>3.5816639759227636E-4</v>
      </c>
      <c r="H153" s="3">
        <f t="shared" si="8"/>
        <v>1.1859420319463302E-4</v>
      </c>
      <c r="I153" s="3">
        <f>PARAMETERS!$B$24*NAP*POWER(A153/555,PARAMETERS!$B$25)</f>
        <v>1.0200000000000001E-4</v>
      </c>
      <c r="J153" s="10">
        <f t="shared" si="10"/>
        <v>5.7876060078690937E-4</v>
      </c>
      <c r="K153" s="11">
        <f>PARAMETERS!$B$13*CALCULATIONS!J153/(CALCULATIONS!F153+CALCULATIONS!J153)</f>
        <v>2.627793912861609E-4</v>
      </c>
      <c r="L153" s="11">
        <f t="shared" si="11"/>
        <v>8.3645278131743673E-5</v>
      </c>
      <c r="O153" s="3"/>
      <c r="P153" s="3"/>
      <c r="Q153" s="3"/>
      <c r="R153" s="3"/>
      <c r="S153" s="3"/>
      <c r="T153" s="3"/>
    </row>
    <row r="154" spans="1:20" x14ac:dyDescent="0.25">
      <c r="A154" s="1">
        <f>PARAMETERS!I155</f>
        <v>692</v>
      </c>
      <c r="B154" s="3">
        <f>PARAMETERS!J155</f>
        <v>0.49030000000000001</v>
      </c>
      <c r="C154" s="3">
        <f>CHL*PARAMETERS!M155</f>
        <v>9.0380513133640815E-5</v>
      </c>
      <c r="D154" s="3">
        <f>NAP*PARAMETERS!$B$21*EXP(-PARAMETERS!$B$22*(A154-443))</f>
        <v>1.917212036988124E-5</v>
      </c>
      <c r="E154" s="3">
        <f>CDOM*EXP(-PARAMETERS!$B$23*(CALCULATIONS!A154-443))</f>
        <v>1.2495333804575508E-5</v>
      </c>
      <c r="F154" s="10">
        <f t="shared" si="9"/>
        <v>0.49042204796730815</v>
      </c>
      <c r="G154" s="3">
        <f>PARAMETERS!$B$16*PARAMETERS!$B$17*POWER(A154/500,PARAMETERS!$B$18)</f>
        <v>3.537159003304493E-4</v>
      </c>
      <c r="H154" s="3">
        <f t="shared" si="8"/>
        <v>1.1828133495085021E-4</v>
      </c>
      <c r="I154" s="3">
        <f>PARAMETERS!$B$24*NAP*POWER(A154/555,PARAMETERS!$B$25)</f>
        <v>1.0200000000000001E-4</v>
      </c>
      <c r="J154" s="10">
        <f t="shared" si="10"/>
        <v>5.7399723528129946E-4</v>
      </c>
      <c r="K154" s="11">
        <f>PARAMETERS!$B$13*CALCULATIONS!J154/(CALCULATIONS!F154+CALCULATIONS!J154)</f>
        <v>2.5304682999896977E-4</v>
      </c>
      <c r="L154" s="11">
        <f t="shared" si="11"/>
        <v>8.0547307656141096E-5</v>
      </c>
      <c r="O154" s="3"/>
      <c r="P154" s="3"/>
      <c r="Q154" s="3"/>
      <c r="R154" s="3"/>
      <c r="S154" s="3"/>
      <c r="T154" s="3"/>
    </row>
    <row r="155" spans="1:20" x14ac:dyDescent="0.25">
      <c r="A155" s="1">
        <f>PARAMETERS!I156</f>
        <v>694</v>
      </c>
      <c r="B155" s="3">
        <f>PARAMETERS!J156</f>
        <v>0.5071</v>
      </c>
      <c r="C155" s="3">
        <f>CHL*PARAMETERS!M156</f>
        <v>6.5522997925108773E-5</v>
      </c>
      <c r="D155" s="3">
        <f>NAP*PARAMETERS!$B$21*EXP(-PARAMETERS!$B$22*(A155-443))</f>
        <v>1.8706240031058208E-5</v>
      </c>
      <c r="E155" s="3">
        <f>CDOM*EXP(-PARAMETERS!$B$23*(CALCULATIONS!A155-443))</f>
        <v>1.2063149128539603E-5</v>
      </c>
      <c r="F155" s="10">
        <f t="shared" si="9"/>
        <v>0.50719629238708464</v>
      </c>
      <c r="G155" s="3">
        <f>PARAMETERS!$B$16*PARAMETERS!$B$17*POWER(A155/500,PARAMETERS!$B$18)</f>
        <v>3.4933330963164092E-4</v>
      </c>
      <c r="H155" s="3">
        <f t="shared" si="8"/>
        <v>1.1797040480835268E-4</v>
      </c>
      <c r="I155" s="3">
        <f>PARAMETERS!$B$24*NAP*POWER(A155/555,PARAMETERS!$B$25)</f>
        <v>1.0200000000000001E-4</v>
      </c>
      <c r="J155" s="10">
        <f t="shared" si="10"/>
        <v>5.6930371443999356E-4</v>
      </c>
      <c r="K155" s="11">
        <f>PARAMETERS!$B$13*CALCULATIONS!J155/(CALCULATIONS!F155+CALCULATIONS!J155)</f>
        <v>2.4268885924666901E-4</v>
      </c>
      <c r="L155" s="11">
        <f t="shared" si="11"/>
        <v>7.7250263164881211E-5</v>
      </c>
      <c r="O155" s="3"/>
      <c r="P155" s="3"/>
      <c r="Q155" s="3"/>
      <c r="R155" s="3"/>
      <c r="S155" s="3"/>
      <c r="T155" s="3"/>
    </row>
    <row r="156" spans="1:20" x14ac:dyDescent="0.25">
      <c r="A156" s="1">
        <f>PARAMETERS!I157</f>
        <v>696</v>
      </c>
      <c r="B156" s="3">
        <f>PARAMETERS!J157</f>
        <v>0.52440000000000009</v>
      </c>
      <c r="C156" s="3">
        <f>CHL*PARAMETERS!M157</f>
        <v>4.7146849430454684E-5</v>
      </c>
      <c r="D156" s="3">
        <f>NAP*PARAMETERS!$B$21*EXP(-PARAMETERS!$B$22*(A156-443))</f>
        <v>1.825168053134502E-5</v>
      </c>
      <c r="E156" s="3">
        <f>CDOM*EXP(-PARAMETERS!$B$23*(CALCULATIONS!A156-443))</f>
        <v>1.1645912720162773E-5</v>
      </c>
      <c r="F156" s="10">
        <f t="shared" si="9"/>
        <v>0.52447704444268206</v>
      </c>
      <c r="G156" s="3">
        <f>PARAMETERS!$B$16*PARAMETERS!$B$17*POWER(A156/500,PARAMETERS!$B$18)</f>
        <v>3.4501739812553583E-4</v>
      </c>
      <c r="H156" s="3">
        <f t="shared" si="8"/>
        <v>1.1766139522776973E-4</v>
      </c>
      <c r="I156" s="3">
        <f>PARAMETERS!$B$24*NAP*POWER(A156/555,PARAMETERS!$B$25)</f>
        <v>1.0200000000000001E-4</v>
      </c>
      <c r="J156" s="10">
        <f t="shared" si="10"/>
        <v>5.6467879335330557E-4</v>
      </c>
      <c r="K156" s="11">
        <f>PARAMETERS!$B$13*CALCULATIONS!J156/(CALCULATIONS!F156+CALCULATIONS!J156)</f>
        <v>2.3279666583735472E-4</v>
      </c>
      <c r="L156" s="11">
        <f t="shared" si="11"/>
        <v>7.4101480206654335E-5</v>
      </c>
      <c r="O156" s="3"/>
      <c r="P156" s="3"/>
      <c r="Q156" s="3"/>
      <c r="R156" s="3"/>
      <c r="S156" s="3"/>
      <c r="T156" s="3"/>
    </row>
    <row r="157" spans="1:20" x14ac:dyDescent="0.25">
      <c r="A157" s="1">
        <f>PARAMETERS!I158</f>
        <v>698</v>
      </c>
      <c r="B157" s="3">
        <f>PARAMETERS!J158</f>
        <v>0.54700000000000004</v>
      </c>
      <c r="C157" s="3">
        <f>CHL*PARAMETERS!M158</f>
        <v>3.344278992407771E-5</v>
      </c>
      <c r="D157" s="3">
        <f>NAP*PARAMETERS!$B$21*EXP(-PARAMETERS!$B$22*(A157-443))</f>
        <v>1.7808166775642192E-5</v>
      </c>
      <c r="E157" s="3">
        <f>CDOM*EXP(-PARAMETERS!$B$23*(CALCULATIONS!A157-443))</f>
        <v>1.1243107553464221E-5</v>
      </c>
      <c r="F157" s="10">
        <f t="shared" si="9"/>
        <v>0.54706249406425334</v>
      </c>
      <c r="G157" s="3">
        <f>PARAMETERS!$B$16*PARAMETERS!$B$17*POWER(A157/500,PARAMETERS!$B$18)</f>
        <v>3.4076696406259261E-4</v>
      </c>
      <c r="H157" s="3">
        <f t="shared" si="8"/>
        <v>1.1735428887824862E-4</v>
      </c>
      <c r="I157" s="3">
        <f>PARAMETERS!$B$24*NAP*POWER(A157/555,PARAMETERS!$B$25)</f>
        <v>1.0200000000000001E-4</v>
      </c>
      <c r="J157" s="10">
        <f t="shared" si="10"/>
        <v>5.6012125294084125E-4</v>
      </c>
      <c r="K157" s="11">
        <f>PARAMETERS!$B$13*CALCULATIONS!J157/(CALCULATIONS!F157+CALCULATIONS!J157)</f>
        <v>2.2139600054715087E-4</v>
      </c>
      <c r="L157" s="11">
        <f t="shared" si="11"/>
        <v>7.0472535735710052E-5</v>
      </c>
      <c r="O157" s="3"/>
      <c r="P157" s="3"/>
      <c r="Q157" s="3"/>
      <c r="R157" s="3"/>
      <c r="S157" s="3"/>
      <c r="T157" s="3"/>
    </row>
    <row r="158" spans="1:20" x14ac:dyDescent="0.25">
      <c r="A158" s="1">
        <f>PARAMETERS!I159</f>
        <v>700</v>
      </c>
      <c r="B158" s="3">
        <f>PARAMETERS!J159</f>
        <v>0.57219999999999993</v>
      </c>
      <c r="C158" s="3">
        <f>CHL*PARAMETERS!M159</f>
        <v>2.5652001386540498E-5</v>
      </c>
      <c r="D158" s="3">
        <f>NAP*PARAMETERS!$B$21*EXP(-PARAMETERS!$B$22*(A158-443))</f>
        <v>1.7375430353629799E-5</v>
      </c>
      <c r="E158" s="3">
        <f>CDOM*EXP(-PARAMETERS!$B$23*(CALCULATIONS!A158-443))</f>
        <v>1.085423448519521E-5</v>
      </c>
      <c r="F158" s="10">
        <f t="shared" si="9"/>
        <v>0.57225388166622526</v>
      </c>
      <c r="G158" s="3">
        <f>PARAMETERS!$B$16*PARAMETERS!$B$17*POWER(A158/500,PARAMETERS!$B$18)</f>
        <v>3.3658083070788947E-4</v>
      </c>
      <c r="H158" s="3">
        <f t="shared" si="8"/>
        <v>1.1704906863438681E-4</v>
      </c>
      <c r="I158" s="3">
        <f>PARAMETERS!$B$24*NAP*POWER(A158/555,PARAMETERS!$B$25)</f>
        <v>1.0200000000000001E-4</v>
      </c>
      <c r="J158" s="10">
        <f t="shared" si="10"/>
        <v>5.556298993422763E-4</v>
      </c>
      <c r="K158" s="11">
        <f>PARAMETERS!$B$13*CALCULATIONS!J158/(CALCULATIONS!F158+CALCULATIONS!J158)</f>
        <v>2.0996382771753784E-4</v>
      </c>
      <c r="L158" s="11">
        <f t="shared" si="11"/>
        <v>6.6833562103482509E-5</v>
      </c>
      <c r="O158" s="3"/>
      <c r="P158" s="3"/>
      <c r="Q158" s="3"/>
      <c r="R158" s="3"/>
      <c r="S158" s="3"/>
      <c r="T158" s="3"/>
    </row>
    <row r="159" spans="1:20" x14ac:dyDescent="0.25">
      <c r="A159" s="1">
        <f>PARAMETERS!I160</f>
        <v>702</v>
      </c>
      <c r="B159" s="3">
        <f>PARAMETERS!J160</f>
        <v>0.59950000000000003</v>
      </c>
      <c r="C159" s="3">
        <f>CHL*PARAMETERS!M160</f>
        <v>2.5652001386540498E-5</v>
      </c>
      <c r="D159" s="3">
        <f>NAP*PARAMETERS!$B$21*EXP(-PARAMETERS!$B$22*(A159-443))</f>
        <v>1.6953209377328099E-5</v>
      </c>
      <c r="E159" s="3">
        <f>CDOM*EXP(-PARAMETERS!$B$23*(CALCULATIONS!A159-443))</f>
        <v>1.047881163631668E-5</v>
      </c>
      <c r="F159" s="10">
        <f t="shared" si="9"/>
        <v>0.59955308402240015</v>
      </c>
      <c r="G159" s="3">
        <f>PARAMETERS!$B$16*PARAMETERS!$B$17*POWER(A159/500,PARAMETERS!$B$18)</f>
        <v>3.3245784575098919E-4</v>
      </c>
      <c r="H159" s="3">
        <f t="shared" si="8"/>
        <v>1.1674571757321819E-4</v>
      </c>
      <c r="I159" s="3">
        <f>PARAMETERS!$B$24*NAP*POWER(A159/555,PARAMETERS!$B$25)</f>
        <v>1.0200000000000001E-4</v>
      </c>
      <c r="J159" s="10">
        <f t="shared" si="10"/>
        <v>5.5120356332420738E-4</v>
      </c>
      <c r="K159" s="11">
        <f>PARAMETERS!$B$13*CALCULATIONS!J159/(CALCULATIONS!F159+CALCULATIONS!J159)</f>
        <v>1.9881739600685109E-4</v>
      </c>
      <c r="L159" s="11">
        <f t="shared" si="11"/>
        <v>6.328554269429841E-5</v>
      </c>
      <c r="O159" s="3"/>
      <c r="P159" s="3"/>
      <c r="Q159" s="3"/>
      <c r="R159" s="3"/>
      <c r="S159" s="3"/>
      <c r="T159" s="3"/>
    </row>
    <row r="160" spans="1:20" x14ac:dyDescent="0.25">
      <c r="A160" s="1">
        <f>PARAMETERS!I161</f>
        <v>704</v>
      </c>
      <c r="B160" s="3">
        <f>PARAMETERS!J161</f>
        <v>0.63029999999999997</v>
      </c>
      <c r="C160" s="3">
        <f>CHL*PARAMETERS!M161</f>
        <v>2.5652001386540498E-5</v>
      </c>
      <c r="D160" s="3">
        <f>NAP*PARAMETERS!$B$21*EXP(-PARAMETERS!$B$22*(A160-443))</f>
        <v>1.6541248322605371E-5</v>
      </c>
      <c r="E160" s="3">
        <f>CDOM*EXP(-PARAMETERS!$B$23*(CALCULATIONS!A160-443))</f>
        <v>1.0116373794870263E-5</v>
      </c>
      <c r="F160" s="10">
        <f t="shared" si="9"/>
        <v>0.63035230962350397</v>
      </c>
      <c r="G160" s="3">
        <f>PARAMETERS!$B$16*PARAMETERS!$B$17*POWER(A160/500,PARAMETERS!$B$18)</f>
        <v>3.2839688073135406E-4</v>
      </c>
      <c r="H160" s="3">
        <f t="shared" si="8"/>
        <v>1.1644421897125206E-4</v>
      </c>
      <c r="I160" s="3">
        <f>PARAMETERS!$B$24*NAP*POWER(A160/555,PARAMETERS!$B$25)</f>
        <v>1.0200000000000001E-4</v>
      </c>
      <c r="J160" s="10">
        <f t="shared" si="10"/>
        <v>5.4684109970260615E-4</v>
      </c>
      <c r="K160" s="11">
        <f>PARAMETERS!$B$13*CALCULATIONS!J160/(CALCULATIONS!F160+CALCULATIONS!J160)</f>
        <v>1.8761618459958994E-4</v>
      </c>
      <c r="L160" s="11">
        <f t="shared" si="11"/>
        <v>5.9720086366132539E-5</v>
      </c>
      <c r="O160" s="3"/>
      <c r="P160" s="3"/>
      <c r="Q160" s="3"/>
      <c r="R160" s="3"/>
      <c r="S160" s="3"/>
      <c r="T160" s="3"/>
    </row>
    <row r="161" spans="1:20" x14ac:dyDescent="0.25">
      <c r="A161" s="1">
        <f>PARAMETERS!I162</f>
        <v>706</v>
      </c>
      <c r="B161" s="3">
        <f>PARAMETERS!J162</f>
        <v>0.66280000000000006</v>
      </c>
      <c r="C161" s="3">
        <f>CHL*PARAMETERS!M162</f>
        <v>2.5652001386540498E-5</v>
      </c>
      <c r="D161" s="3">
        <f>NAP*PARAMETERS!$B$21*EXP(-PARAMETERS!$B$22*(A161-443))</f>
        <v>1.6139297874537173E-5</v>
      </c>
      <c r="E161" s="3">
        <f>CDOM*EXP(-PARAMETERS!$B$23*(CALCULATIONS!A161-443))</f>
        <v>9.7664718395024799E-6</v>
      </c>
      <c r="F161" s="10">
        <f t="shared" si="9"/>
        <v>0.66285155777110061</v>
      </c>
      <c r="G161" s="3">
        <f>PARAMETERS!$B$16*PARAMETERS!$B$17*POWER(A161/500,PARAMETERS!$B$18)</f>
        <v>3.2439683047886039E-4</v>
      </c>
      <c r="H161" s="3">
        <f t="shared" si="8"/>
        <v>1.1614455630156332E-4</v>
      </c>
      <c r="I161" s="3">
        <f>PARAMETERS!$B$24*NAP*POWER(A161/555,PARAMETERS!$B$25)</f>
        <v>1.0200000000000001E-4</v>
      </c>
      <c r="J161" s="10">
        <f t="shared" si="10"/>
        <v>5.4254138678042367E-4</v>
      </c>
      <c r="K161" s="11">
        <f>PARAMETERS!$B$13*CALCULATIONS!J161/(CALCULATIONS!F161+CALCULATIONS!J161)</f>
        <v>1.7702327192696605E-4</v>
      </c>
      <c r="L161" s="11">
        <f t="shared" si="11"/>
        <v>5.6348257538954792E-5</v>
      </c>
      <c r="O161" s="3"/>
      <c r="P161" s="3"/>
      <c r="Q161" s="3"/>
      <c r="R161" s="3"/>
      <c r="S161" s="3"/>
      <c r="T161" s="3"/>
    </row>
    <row r="162" spans="1:20" x14ac:dyDescent="0.25">
      <c r="A162" s="1">
        <f>PARAMETERS!I163</f>
        <v>708</v>
      </c>
      <c r="B162" s="3">
        <f>PARAMETERS!J163</f>
        <v>0.69930000000000003</v>
      </c>
      <c r="C162" s="3">
        <f>CHL*PARAMETERS!M163</f>
        <v>2.5652001386540498E-5</v>
      </c>
      <c r="D162" s="3">
        <f>NAP*PARAMETERS!$B$21*EXP(-PARAMETERS!$B$22*(A162-443))</f>
        <v>1.5747114776523284E-5</v>
      </c>
      <c r="E162" s="3">
        <f>CDOM*EXP(-PARAMETERS!$B$23*(CALCULATIONS!A162-443))</f>
        <v>9.4286721829279883E-6</v>
      </c>
      <c r="F162" s="10">
        <f t="shared" si="9"/>
        <v>0.6993508277883459</v>
      </c>
      <c r="G162" s="3">
        <f>PARAMETERS!$B$16*PARAMETERS!$B$17*POWER(A162/500,PARAMETERS!$B$18)</f>
        <v>3.204566125689752E-4</v>
      </c>
      <c r="H162" s="3">
        <f t="shared" si="8"/>
        <v>1.1584671323093373E-4</v>
      </c>
      <c r="I162" s="3">
        <f>PARAMETERS!$B$24*NAP*POWER(A162/555,PARAMETERS!$B$25)</f>
        <v>1.0200000000000001E-4</v>
      </c>
      <c r="J162" s="10">
        <f t="shared" si="10"/>
        <v>5.3830332579990893E-4</v>
      </c>
      <c r="K162" s="11">
        <f>PARAMETERS!$B$13*CALCULATIONS!J162/(CALCULATIONS!F162+CALCULATIONS!J162)</f>
        <v>1.6648185581182219E-4</v>
      </c>
      <c r="L162" s="11">
        <f t="shared" si="11"/>
        <v>5.2992820575127375E-5</v>
      </c>
      <c r="O162" s="3"/>
      <c r="P162" s="3"/>
      <c r="Q162" s="3"/>
      <c r="R162" s="3"/>
      <c r="S162" s="3"/>
      <c r="T162" s="3"/>
    </row>
    <row r="163" spans="1:20" x14ac:dyDescent="0.25">
      <c r="A163" s="1">
        <f>PARAMETERS!I164</f>
        <v>710</v>
      </c>
      <c r="B163" s="3">
        <f>PARAMETERS!J164</f>
        <v>0.74149999999999994</v>
      </c>
      <c r="C163" s="3">
        <f>CHL*PARAMETERS!M164</f>
        <v>2.5652001386540498E-5</v>
      </c>
      <c r="D163" s="3">
        <f>NAP*PARAMETERS!$B$21*EXP(-PARAMETERS!$B$22*(A163-443))</f>
        <v>1.5364461683071148E-5</v>
      </c>
      <c r="E163" s="3">
        <f>CDOM*EXP(-PARAMETERS!$B$23*(CALCULATIONS!A163-443))</f>
        <v>9.1025562346421308E-6</v>
      </c>
      <c r="F163" s="10">
        <f t="shared" si="9"/>
        <v>0.74155011901930412</v>
      </c>
      <c r="G163" s="3">
        <f>PARAMETERS!$B$16*PARAMETERS!$B$17*POWER(A163/500,PARAMETERS!$B$18)</f>
        <v>3.1657516679216752E-4</v>
      </c>
      <c r="H163" s="3">
        <f t="shared" si="8"/>
        <v>1.1555067361704222E-4</v>
      </c>
      <c r="I163" s="3">
        <f>PARAMETERS!$B$24*NAP*POWER(A163/555,PARAMETERS!$B$25)</f>
        <v>1.0200000000000001E-4</v>
      </c>
      <c r="J163" s="10">
        <f t="shared" si="10"/>
        <v>5.3412584040920977E-4</v>
      </c>
      <c r="K163" s="11">
        <f>PARAMETERS!$B$13*CALCULATIONS!J163/(CALCULATIONS!F163+CALCULATIONS!J163)</f>
        <v>1.5579713697660478E-4</v>
      </c>
      <c r="L163" s="11">
        <f t="shared" si="11"/>
        <v>4.9591768938783516E-5</v>
      </c>
      <c r="O163" s="3"/>
      <c r="P163" s="3"/>
      <c r="Q163" s="3"/>
      <c r="R163" s="3"/>
      <c r="S163" s="3"/>
      <c r="T163" s="3"/>
    </row>
    <row r="164" spans="1:20" x14ac:dyDescent="0.25">
      <c r="A164" s="1">
        <f>PARAMETERS!I165</f>
        <v>712</v>
      </c>
      <c r="B164" s="3">
        <f>PARAMETERS!J165</f>
        <v>0.78930000000000011</v>
      </c>
      <c r="C164" s="3">
        <f>CHL*PARAMETERS!M165</f>
        <v>2.5652001386540498E-5</v>
      </c>
      <c r="D164" s="3">
        <f>NAP*PARAMETERS!$B$21*EXP(-PARAMETERS!$B$22*(A164-443))</f>
        <v>1.4991107016156603E-5</v>
      </c>
      <c r="E164" s="3">
        <f>CDOM*EXP(-PARAMETERS!$B$23*(CALCULATIONS!A164-443))</f>
        <v>8.7877198822169638E-6</v>
      </c>
      <c r="F164" s="10">
        <f t="shared" si="9"/>
        <v>0.78934943082828501</v>
      </c>
      <c r="G164" s="3">
        <f>PARAMETERS!$B$16*PARAMETERS!$B$17*POWER(A164/500,PARAMETERS!$B$18)</f>
        <v>3.1275145463714678E-4</v>
      </c>
      <c r="H164" s="3">
        <f t="shared" si="8"/>
        <v>1.1525642150570384E-4</v>
      </c>
      <c r="I164" s="3">
        <f>PARAMETERS!$B$24*NAP*POWER(A164/555,PARAMETERS!$B$25)</f>
        <v>1.0200000000000001E-4</v>
      </c>
      <c r="J164" s="10">
        <f t="shared" si="10"/>
        <v>5.3000787614285064E-4</v>
      </c>
      <c r="K164" s="11">
        <f>PARAMETERS!$B$13*CALCULATIONS!J164/(CALCULATIONS!F164+CALCULATIONS!J164)</f>
        <v>1.4524146109637918E-4</v>
      </c>
      <c r="L164" s="11">
        <f t="shared" si="11"/>
        <v>4.6231792950755918E-5</v>
      </c>
      <c r="O164" s="3"/>
      <c r="P164" s="3"/>
      <c r="Q164" s="3"/>
      <c r="R164" s="3"/>
      <c r="S164" s="3"/>
      <c r="T164" s="3"/>
    </row>
    <row r="165" spans="1:20" x14ac:dyDescent="0.25">
      <c r="A165" s="1">
        <f>PARAMETERS!I166</f>
        <v>714</v>
      </c>
      <c r="B165" s="3">
        <f>PARAMETERS!J166</f>
        <v>0.84449999999999992</v>
      </c>
      <c r="C165" s="3">
        <f>CHL*PARAMETERS!M166</f>
        <v>2.5652001386540498E-5</v>
      </c>
      <c r="D165" s="3">
        <f>NAP*PARAMETERS!$B$21*EXP(-PARAMETERS!$B$22*(A165-443))</f>
        <v>1.4626824825075066E-5</v>
      </c>
      <c r="E165" s="3">
        <f>CDOM*EXP(-PARAMETERS!$B$23*(CALCULATIONS!A165-443))</f>
        <v>8.4837729905381214E-6</v>
      </c>
      <c r="F165" s="10">
        <f t="shared" si="9"/>
        <v>0.84454876259920209</v>
      </c>
      <c r="G165" s="3">
        <f>PARAMETERS!$B$16*PARAMETERS!$B$17*POWER(A165/500,PARAMETERS!$B$18)</f>
        <v>3.0898445878752912E-4</v>
      </c>
      <c r="H165" s="3">
        <f t="shared" si="8"/>
        <v>1.1496394112815639E-4</v>
      </c>
      <c r="I165" s="3">
        <f>PARAMETERS!$B$24*NAP*POWER(A165/555,PARAMETERS!$B$25)</f>
        <v>1.0200000000000001E-4</v>
      </c>
      <c r="J165" s="10">
        <f t="shared" si="10"/>
        <v>5.2594839991568557E-4</v>
      </c>
      <c r="K165" s="11">
        <f>PARAMETERS!$B$13*CALCULATIONS!J165/(CALCULATIONS!F165+CALCULATIONS!J165)</f>
        <v>1.3471536348200094E-4</v>
      </c>
      <c r="L165" s="11">
        <f t="shared" si="11"/>
        <v>4.2881232017163713E-5</v>
      </c>
      <c r="O165" s="3"/>
      <c r="P165" s="3"/>
      <c r="Q165" s="3"/>
      <c r="R165" s="3"/>
      <c r="S165" s="3"/>
      <c r="T165" s="3"/>
    </row>
    <row r="166" spans="1:20" x14ac:dyDescent="0.25">
      <c r="A166" s="1">
        <f>PARAMETERS!I167</f>
        <v>716</v>
      </c>
      <c r="B166" s="3">
        <f>PARAMETERS!J167</f>
        <v>0.91090000000000004</v>
      </c>
      <c r="C166" s="3">
        <f>CHL*PARAMETERS!M167</f>
        <v>2.5652001386540498E-5</v>
      </c>
      <c r="D166" s="3">
        <f>NAP*PARAMETERS!$B$21*EXP(-PARAMETERS!$B$22*(A166-443))</f>
        <v>1.4271394649698317E-5</v>
      </c>
      <c r="E166" s="3">
        <f>CDOM*EXP(-PARAMETERS!$B$23*(CALCULATIONS!A166-443))</f>
        <v>8.1903389183618924E-6</v>
      </c>
      <c r="F166" s="10">
        <f t="shared" si="9"/>
        <v>0.91094811373495466</v>
      </c>
      <c r="G166" s="3">
        <f>PARAMETERS!$B$16*PARAMETERS!$B$17*POWER(A166/500,PARAMETERS!$B$18)</f>
        <v>3.0527318263154628E-4</v>
      </c>
      <c r="H166" s="3">
        <f t="shared" si="8"/>
        <v>1.1467321689839374E-4</v>
      </c>
      <c r="I166" s="3">
        <f>PARAMETERS!$B$24*NAP*POWER(A166/555,PARAMETERS!$B$25)</f>
        <v>1.0200000000000001E-4</v>
      </c>
      <c r="J166" s="10">
        <f t="shared" si="10"/>
        <v>5.2194639952994008E-4</v>
      </c>
      <c r="K166" s="11">
        <f>PARAMETERS!$B$13*CALCULATIONS!J166/(CALCULATIONS!F166+CALCULATIONS!J166)</f>
        <v>1.2395173014759215E-4</v>
      </c>
      <c r="L166" s="11">
        <f t="shared" si="11"/>
        <v>3.9455061115563993E-5</v>
      </c>
      <c r="O166" s="3"/>
      <c r="P166" s="3"/>
      <c r="Q166" s="3"/>
      <c r="R166" s="3"/>
      <c r="S166" s="3"/>
      <c r="T166" s="3"/>
    </row>
    <row r="167" spans="1:20" x14ac:dyDescent="0.25">
      <c r="A167" s="1">
        <f>PARAMETERS!I168</f>
        <v>718</v>
      </c>
      <c r="B167" s="3">
        <f>PARAMETERS!J168</f>
        <v>0.98709999999999998</v>
      </c>
      <c r="C167" s="3">
        <f>CHL*PARAMETERS!M168</f>
        <v>2.5652001386540498E-5</v>
      </c>
      <c r="D167" s="3">
        <f>NAP*PARAMETERS!$B$21*EXP(-PARAMETERS!$B$22*(A167-443))</f>
        <v>1.3924601387054106E-5</v>
      </c>
      <c r="E167" s="3">
        <f>CDOM*EXP(-PARAMETERS!$B$23*(CALCULATIONS!A167-443))</f>
        <v>7.907054051593441E-6</v>
      </c>
      <c r="F167" s="10">
        <f t="shared" si="9"/>
        <v>0.98714748365682514</v>
      </c>
      <c r="G167" s="3">
        <f>PARAMETERS!$B$16*PARAMETERS!$B$17*POWER(A167/500,PARAMETERS!$B$18)</f>
        <v>3.0161664978442396E-4</v>
      </c>
      <c r="H167" s="3">
        <f t="shared" si="8"/>
        <v>1.1438423341054444E-4</v>
      </c>
      <c r="I167" s="3">
        <f>PARAMETERS!$B$24*NAP*POWER(A167/555,PARAMETERS!$B$25)</f>
        <v>1.0200000000000001E-4</v>
      </c>
      <c r="J167" s="10">
        <f t="shared" si="10"/>
        <v>5.1800088319496845E-4</v>
      </c>
      <c r="K167" s="11">
        <f>PARAMETERS!$B$13*CALCULATIONS!J167/(CALCULATIONS!F167+CALCULATIONS!J167)</f>
        <v>1.1352453138522347E-4</v>
      </c>
      <c r="L167" s="11">
        <f t="shared" si="11"/>
        <v>3.6135980664298653E-5</v>
      </c>
      <c r="O167" s="3"/>
      <c r="P167" s="3"/>
      <c r="Q167" s="3"/>
      <c r="R167" s="3"/>
      <c r="S167" s="3"/>
      <c r="T167" s="3"/>
    </row>
    <row r="168" spans="1:20" x14ac:dyDescent="0.25">
      <c r="A168" s="1">
        <f>PARAMETERS!I169</f>
        <v>720</v>
      </c>
      <c r="B168" s="3">
        <f>PARAMETERS!J169</f>
        <v>1.0724</v>
      </c>
      <c r="C168" s="3">
        <f>CHL*PARAMETERS!M169</f>
        <v>2.5652001386540498E-5</v>
      </c>
      <c r="D168" s="3">
        <f>NAP*PARAMETERS!$B$21*EXP(-PARAMETERS!$B$22*(A168-443))</f>
        <v>1.3586235161147886E-5</v>
      </c>
      <c r="E168" s="3">
        <f>CDOM*EXP(-PARAMETERS!$B$23*(CALCULATIONS!A168-443))</f>
        <v>7.6335673527078911E-6</v>
      </c>
      <c r="F168" s="10">
        <f t="shared" si="9"/>
        <v>1.0724468718039004</v>
      </c>
      <c r="G168" s="3">
        <f>PARAMETERS!$B$16*PARAMETERS!$B$17*POWER(A168/500,PARAMETERS!$B$18)</f>
        <v>2.9801390362306924E-4</v>
      </c>
      <c r="H168" s="3">
        <f t="shared" si="8"/>
        <v>1.1409697543629539E-4</v>
      </c>
      <c r="I168" s="3">
        <f>PARAMETERS!$B$24*NAP*POWER(A168/555,PARAMETERS!$B$25)</f>
        <v>1.0200000000000001E-4</v>
      </c>
      <c r="J168" s="10">
        <f t="shared" si="10"/>
        <v>5.141108790593646E-4</v>
      </c>
      <c r="K168" s="11">
        <f>PARAMETERS!$B$13*CALCULATIONS!J168/(CALCULATIONS!F168+CALCULATIONS!J168)</f>
        <v>1.0371509252807971E-4</v>
      </c>
      <c r="L168" s="11">
        <f t="shared" si="11"/>
        <v>3.3013539298154376E-5</v>
      </c>
      <c r="O168" s="3"/>
      <c r="P168" s="3"/>
      <c r="Q168" s="3"/>
      <c r="R168" s="3"/>
      <c r="S168" s="3"/>
      <c r="T168" s="3"/>
    </row>
    <row r="169" spans="1:20" x14ac:dyDescent="0.25">
      <c r="A169" s="1">
        <f>PARAMETERS!I170</f>
        <v>722</v>
      </c>
      <c r="B169" s="3">
        <f>PARAMETERS!J170</f>
        <v>1.1678999999999999</v>
      </c>
      <c r="C169" s="3">
        <f>CHL*PARAMETERS!M170</f>
        <v>2.5652001386540498E-5</v>
      </c>
      <c r="D169" s="3">
        <f>NAP*PARAMETERS!$B$21*EXP(-PARAMETERS!$B$22*(A169-443))</f>
        <v>1.3256091195947854E-5</v>
      </c>
      <c r="E169" s="3">
        <f>CDOM*EXP(-PARAMETERS!$B$23*(CALCULATIONS!A169-443))</f>
        <v>7.3695399257559E-6</v>
      </c>
      <c r="F169" s="10">
        <f t="shared" si="9"/>
        <v>1.1679462776325082</v>
      </c>
      <c r="G169" s="3">
        <f>PARAMETERS!$B$16*PARAMETERS!$B$17*POWER(A169/500,PARAMETERS!$B$18)</f>
        <v>2.944640068327139E-4</v>
      </c>
      <c r="H169" s="3">
        <f t="shared" si="8"/>
        <v>1.1381142792235947E-4</v>
      </c>
      <c r="I169" s="3">
        <f>PARAMETERS!$B$24*NAP*POWER(A169/555,PARAMETERS!$B$25)</f>
        <v>1.0200000000000001E-4</v>
      </c>
      <c r="J169" s="10">
        <f t="shared" si="10"/>
        <v>5.1027543475507333E-4</v>
      </c>
      <c r="K169" s="11">
        <f>PARAMETERS!$B$13*CALCULATIONS!J169/(CALCULATIONS!F169+CALCULATIONS!J169)</f>
        <v>9.4528156307208293E-5</v>
      </c>
      <c r="L169" s="11">
        <f t="shared" si="11"/>
        <v>3.0089246675311046E-5</v>
      </c>
      <c r="O169" s="3"/>
      <c r="P169" s="3"/>
      <c r="Q169" s="3"/>
      <c r="R169" s="3"/>
      <c r="S169" s="3"/>
      <c r="T169" s="3"/>
    </row>
    <row r="170" spans="1:20" x14ac:dyDescent="0.25">
      <c r="A170" s="1">
        <f>PARAMETERS!I171</f>
        <v>724</v>
      </c>
      <c r="B170" s="3">
        <f>PARAMETERS!J171</f>
        <v>1.2684000000000002</v>
      </c>
      <c r="C170" s="3">
        <f>CHL*PARAMETERS!M171</f>
        <v>2.5652001386540498E-5</v>
      </c>
      <c r="D170" s="3">
        <f>NAP*PARAMETERS!$B$21*EXP(-PARAMETERS!$B$22*(A170-443))</f>
        <v>1.2933969691456411E-5</v>
      </c>
      <c r="E170" s="3">
        <f>CDOM*EXP(-PARAMETERS!$B$23*(CALCULATIONS!A170-443))</f>
        <v>7.1146445964146159E-6</v>
      </c>
      <c r="F170" s="10">
        <f t="shared" si="9"/>
        <v>1.2684457006156746</v>
      </c>
      <c r="G170" s="3">
        <f>PARAMETERS!$B$16*PARAMETERS!$B$17*POWER(A170/500,PARAMETERS!$B$18)</f>
        <v>2.9096604096517817E-4</v>
      </c>
      <c r="H170" s="3">
        <f t="shared" si="8"/>
        <v>1.1352757598798584E-4</v>
      </c>
      <c r="I170" s="3">
        <f>PARAMETERS!$B$24*NAP*POWER(A170/555,PARAMETERS!$B$25)</f>
        <v>1.0200000000000001E-4</v>
      </c>
      <c r="J170" s="10">
        <f t="shared" si="10"/>
        <v>5.0649361695316402E-4</v>
      </c>
      <c r="K170" s="11">
        <f>PARAMETERS!$B$13*CALCULATIONS!J170/(CALCULATIONS!F170+CALCULATIONS!J170)</f>
        <v>8.6396830422197374E-5</v>
      </c>
      <c r="L170" s="11">
        <f t="shared" si="11"/>
        <v>2.7500965258329911E-5</v>
      </c>
      <c r="O170" s="3"/>
      <c r="P170" s="3"/>
      <c r="Q170" s="3"/>
      <c r="R170" s="3"/>
      <c r="S170" s="3"/>
      <c r="T170" s="3"/>
    </row>
    <row r="171" spans="1:20" x14ac:dyDescent="0.25">
      <c r="A171" s="1">
        <f>PARAMETERS!I172</f>
        <v>726</v>
      </c>
      <c r="B171" s="3">
        <f>PARAMETERS!J172</f>
        <v>1.3719000000000001</v>
      </c>
      <c r="C171" s="3">
        <f>CHL*PARAMETERS!M172</f>
        <v>2.5652001386540498E-5</v>
      </c>
      <c r="D171" s="3">
        <f>NAP*PARAMETERS!$B$21*EXP(-PARAMETERS!$B$22*(A171-443))</f>
        <v>1.2619675702793132E-5</v>
      </c>
      <c r="E171" s="3">
        <f>CDOM*EXP(-PARAMETERS!$B$23*(CALCULATIONS!A171-443))</f>
        <v>6.8685655065638019E-6</v>
      </c>
      <c r="F171" s="10">
        <f t="shared" si="9"/>
        <v>1.3719451402425962</v>
      </c>
      <c r="G171" s="3">
        <f>PARAMETERS!$B$16*PARAMETERS!$B$17*POWER(A171/500,PARAMETERS!$B$18)</f>
        <v>2.8751910600842304E-4</v>
      </c>
      <c r="H171" s="3">
        <f t="shared" si="8"/>
        <v>1.132454049225128E-4</v>
      </c>
      <c r="I171" s="3">
        <f>PARAMETERS!$B$24*NAP*POWER(A171/555,PARAMETERS!$B$25)</f>
        <v>1.0200000000000001E-4</v>
      </c>
      <c r="J171" s="10">
        <f t="shared" si="10"/>
        <v>5.0276451093093585E-4</v>
      </c>
      <c r="K171" s="11">
        <f>PARAMETERS!$B$13*CALCULATIONS!J171/(CALCULATIONS!F171+CALCULATIONS!J171)</f>
        <v>7.9293546065746902E-5</v>
      </c>
      <c r="L171" s="11">
        <f t="shared" si="11"/>
        <v>2.5239919623297059E-5</v>
      </c>
      <c r="O171" s="3"/>
      <c r="P171" s="3"/>
      <c r="Q171" s="3"/>
      <c r="R171" s="3"/>
      <c r="S171" s="3"/>
      <c r="T171" s="3"/>
    </row>
    <row r="172" spans="1:20" x14ac:dyDescent="0.25">
      <c r="A172" s="1">
        <f>PARAMETERS!I173</f>
        <v>728</v>
      </c>
      <c r="B172" s="3">
        <f>PARAMETERS!J173</f>
        <v>1.4869999999999999</v>
      </c>
      <c r="C172" s="3">
        <f>CHL*PARAMETERS!M173</f>
        <v>2.5652001386540498E-5</v>
      </c>
      <c r="D172" s="3">
        <f>NAP*PARAMETERS!$B$21*EXP(-PARAMETERS!$B$22*(A172-443))</f>
        <v>1.2313019022215947E-5</v>
      </c>
      <c r="E172" s="3">
        <f>CDOM*EXP(-PARAMETERS!$B$23*(CALCULATIONS!A172-443))</f>
        <v>6.6309977228845316E-6</v>
      </c>
      <c r="F172" s="10">
        <f t="shared" si="9"/>
        <v>1.4870445960181315</v>
      </c>
      <c r="G172" s="3">
        <f>PARAMETERS!$B$16*PARAMETERS!$B$17*POWER(A172/500,PARAMETERS!$B$18)</f>
        <v>2.8412231996707415E-4</v>
      </c>
      <c r="H172" s="3">
        <f t="shared" si="8"/>
        <v>1.1296490018296163E-4</v>
      </c>
      <c r="I172" s="3">
        <f>PARAMETERS!$B$24*NAP*POWER(A172/555,PARAMETERS!$B$25)</f>
        <v>1.0200000000000001E-4</v>
      </c>
      <c r="J172" s="10">
        <f t="shared" si="10"/>
        <v>4.9908722015003573E-4</v>
      </c>
      <c r="K172" s="11">
        <f>PARAMETERS!$B$13*CALCULATIONS!J172/(CALCULATIONS!F172+CALCULATIONS!J172)</f>
        <v>7.2623272648197055E-5</v>
      </c>
      <c r="L172" s="11">
        <f t="shared" si="11"/>
        <v>2.3116705650942003E-5</v>
      </c>
      <c r="O172" s="3"/>
      <c r="P172" s="3"/>
      <c r="Q172" s="3"/>
      <c r="R172" s="3"/>
      <c r="S172" s="3"/>
      <c r="T172" s="3"/>
    </row>
    <row r="173" spans="1:20" x14ac:dyDescent="0.25">
      <c r="A173" s="1">
        <f>PARAMETERS!I174</f>
        <v>730</v>
      </c>
      <c r="B173" s="3">
        <f>PARAMETERS!J174</f>
        <v>1.6211</v>
      </c>
      <c r="C173" s="3">
        <f>CHL*PARAMETERS!M174</f>
        <v>2.5652001386540498E-5</v>
      </c>
      <c r="D173" s="3">
        <f>NAP*PARAMETERS!$B$21*EXP(-PARAMETERS!$B$22*(A173-443))</f>
        <v>1.2013814064009236E-5</v>
      </c>
      <c r="E173" s="3">
        <f>CDOM*EXP(-PARAMETERS!$B$23*(CALCULATIONS!A173-443))</f>
        <v>6.4016468589956171E-6</v>
      </c>
      <c r="F173" s="10">
        <f t="shared" si="9"/>
        <v>1.6211440674623097</v>
      </c>
      <c r="G173" s="3">
        <f>PARAMETERS!$B$16*PARAMETERS!$B$17*POWER(A173/500,PARAMETERS!$B$18)</f>
        <v>2.8077481845360764E-4</v>
      </c>
      <c r="H173" s="3">
        <f t="shared" si="8"/>
        <v>1.1268604739167134E-4</v>
      </c>
      <c r="I173" s="3">
        <f>PARAMETERS!$B$24*NAP*POWER(A173/555,PARAMETERS!$B$25)</f>
        <v>1.0200000000000001E-4</v>
      </c>
      <c r="J173" s="10">
        <f t="shared" si="10"/>
        <v>4.9546086584527902E-4</v>
      </c>
      <c r="K173" s="11">
        <f>PARAMETERS!$B$13*CALCULATIONS!J173/(CALCULATIONS!F173+CALCULATIONS!J173)</f>
        <v>6.6133899321207644E-5</v>
      </c>
      <c r="L173" s="11">
        <f t="shared" si="11"/>
        <v>2.1051073965823879E-5</v>
      </c>
      <c r="O173" s="3"/>
      <c r="P173" s="3"/>
      <c r="Q173" s="3"/>
      <c r="R173" s="3"/>
      <c r="S173" s="3"/>
      <c r="T173" s="3"/>
    </row>
    <row r="174" spans="1:20" x14ac:dyDescent="0.25">
      <c r="A174" s="1">
        <f>PARAMETERS!I175</f>
        <v>732</v>
      </c>
      <c r="B174" s="3">
        <f>PARAMETERS!J175</f>
        <v>1.7871999999999999</v>
      </c>
      <c r="C174" s="3">
        <f>CHL*PARAMETERS!M175</f>
        <v>2.5652001386540498E-5</v>
      </c>
      <c r="D174" s="3">
        <f>NAP*PARAMETERS!$B$21*EXP(-PARAMETERS!$B$22*(A174-443))</f>
        <v>1.1721879752169102E-5</v>
      </c>
      <c r="E174" s="3">
        <f>CDOM*EXP(-PARAMETERS!$B$23*(CALCULATIONS!A174-443))</f>
        <v>6.1802287106594616E-6</v>
      </c>
      <c r="F174" s="10">
        <f t="shared" si="9"/>
        <v>1.7872435541098493</v>
      </c>
      <c r="G174" s="3">
        <f>PARAMETERS!$B$16*PARAMETERS!$B$17*POWER(A174/500,PARAMETERS!$B$18)</f>
        <v>2.7747575428989921E-4</v>
      </c>
      <c r="H174" s="3">
        <f t="shared" si="8"/>
        <v>1.1240883233397283E-4</v>
      </c>
      <c r="I174" s="3">
        <f>PARAMETERS!$B$24*NAP*POWER(A174/555,PARAMETERS!$B$25)</f>
        <v>1.0200000000000001E-4</v>
      </c>
      <c r="J174" s="10">
        <f t="shared" si="10"/>
        <v>4.9188458662387203E-4</v>
      </c>
      <c r="K174" s="11">
        <f>PARAMETERS!$B$13*CALCULATIONS!J174/(CALCULATIONS!F174+CALCULATIONS!J174)</f>
        <v>5.9556485178880447E-5</v>
      </c>
      <c r="L174" s="11">
        <f t="shared" si="11"/>
        <v>1.8957418018796052E-5</v>
      </c>
      <c r="O174" s="3"/>
      <c r="P174" s="3"/>
      <c r="Q174" s="3"/>
      <c r="R174" s="3"/>
      <c r="S174" s="3"/>
      <c r="T174" s="3"/>
    </row>
    <row r="175" spans="1:20" x14ac:dyDescent="0.25">
      <c r="A175" s="1">
        <f>PARAMETERS!I176</f>
        <v>734</v>
      </c>
      <c r="B175" s="3">
        <f>PARAMETERS!J176</f>
        <v>1.9917</v>
      </c>
      <c r="C175" s="3">
        <f>CHL*PARAMETERS!M176</f>
        <v>2.5652001386540498E-5</v>
      </c>
      <c r="D175" s="3">
        <f>NAP*PARAMETERS!$B$21*EXP(-PARAMETERS!$B$22*(A175-443))</f>
        <v>1.14370394108179E-5</v>
      </c>
      <c r="E175" s="3">
        <f>CDOM*EXP(-PARAMETERS!$B$23*(CALCULATIONS!A175-443))</f>
        <v>5.9664689036052397E-6</v>
      </c>
      <c r="F175" s="10">
        <f t="shared" si="9"/>
        <v>1.9917430555097011</v>
      </c>
      <c r="G175" s="3">
        <f>PARAMETERS!$B$16*PARAMETERS!$B$17*POWER(A175/500,PARAMETERS!$B$18)</f>
        <v>2.7422429711884602E-4</v>
      </c>
      <c r="H175" s="3">
        <f t="shared" si="8"/>
        <v>1.1213324095590213E-4</v>
      </c>
      <c r="I175" s="3">
        <f>PARAMETERS!$B$24*NAP*POWER(A175/555,PARAMETERS!$B$25)</f>
        <v>1.0200000000000001E-4</v>
      </c>
      <c r="J175" s="10">
        <f t="shared" si="10"/>
        <v>4.883575380747482E-4</v>
      </c>
      <c r="K175" s="11">
        <f>PARAMETERS!$B$13*CALCULATIONS!J175/(CALCULATIONS!F175+CALCULATIONS!J175)</f>
        <v>5.305999523158205E-5</v>
      </c>
      <c r="L175" s="11">
        <f t="shared" si="11"/>
        <v>1.688952104307736E-5</v>
      </c>
      <c r="O175" s="3"/>
      <c r="P175" s="3"/>
      <c r="Q175" s="3"/>
      <c r="R175" s="3"/>
      <c r="S175" s="3"/>
      <c r="T175" s="3"/>
    </row>
    <row r="176" spans="1:20" x14ac:dyDescent="0.25">
      <c r="A176" s="1">
        <f>PARAMETERS!I177</f>
        <v>736</v>
      </c>
      <c r="B176" s="3">
        <f>PARAMETERS!J177</f>
        <v>2.2073999999999998</v>
      </c>
      <c r="C176" s="3">
        <f>CHL*PARAMETERS!M177</f>
        <v>2.5652001386540498E-5</v>
      </c>
      <c r="D176" s="3">
        <f>NAP*PARAMETERS!$B$21*EXP(-PARAMETERS!$B$22*(A176-443))</f>
        <v>1.1159120657281659E-5</v>
      </c>
      <c r="E176" s="3">
        <f>CDOM*EXP(-PARAMETERS!$B$23*(CALCULATIONS!A176-443))</f>
        <v>5.7601025535331229E-6</v>
      </c>
      <c r="F176" s="10">
        <f t="shared" si="9"/>
        <v>2.2074425712245973</v>
      </c>
      <c r="G176" s="3">
        <f>PARAMETERS!$B$16*PARAMETERS!$B$17*POWER(A176/500,PARAMETERS!$B$18)</f>
        <v>2.710196330257805E-4</v>
      </c>
      <c r="H176" s="3">
        <f t="shared" si="8"/>
        <v>1.1185925936195182E-4</v>
      </c>
      <c r="I176" s="3">
        <f>PARAMETERS!$B$24*NAP*POWER(A176/555,PARAMETERS!$B$25)</f>
        <v>1.0200000000000001E-4</v>
      </c>
      <c r="J176" s="10">
        <f t="shared" si="10"/>
        <v>4.8487889238773229E-4</v>
      </c>
      <c r="K176" s="11">
        <f>PARAMETERS!$B$13*CALCULATIONS!J176/(CALCULATIONS!F176+CALCULATIONS!J176)</f>
        <v>4.7535446178739386E-5</v>
      </c>
      <c r="L176" s="11">
        <f t="shared" si="11"/>
        <v>1.5131002462850243E-5</v>
      </c>
      <c r="O176" s="3"/>
      <c r="P176" s="3"/>
      <c r="Q176" s="3"/>
      <c r="R176" s="3"/>
      <c r="S176" s="3"/>
      <c r="T176" s="3"/>
    </row>
    <row r="177" spans="1:20" x14ac:dyDescent="0.25">
      <c r="A177" s="1">
        <f>PARAMETERS!I178</f>
        <v>738</v>
      </c>
      <c r="B177" s="3">
        <f>PARAMETERS!J178</f>
        <v>2.3942000000000001</v>
      </c>
      <c r="C177" s="3">
        <f>CHL*PARAMETERS!M178</f>
        <v>2.5652001386540498E-5</v>
      </c>
      <c r="D177" s="3">
        <f>NAP*PARAMETERS!$B$21*EXP(-PARAMETERS!$B$22*(A177-443))</f>
        <v>1.0887955297765734E-5</v>
      </c>
      <c r="E177" s="3">
        <f>CDOM*EXP(-PARAMETERS!$B$23*(CALCULATIONS!A177-443))</f>
        <v>5.5608739378781548E-6</v>
      </c>
      <c r="F177" s="10">
        <f t="shared" si="9"/>
        <v>2.3942421008306223</v>
      </c>
      <c r="G177" s="3">
        <f>PARAMETERS!$B$16*PARAMETERS!$B$17*POWER(A177/500,PARAMETERS!$B$18)</f>
        <v>2.6786096416940287E-4</v>
      </c>
      <c r="H177" s="3">
        <f t="shared" si="8"/>
        <v>1.1158687381286027E-4</v>
      </c>
      <c r="I177" s="3">
        <f>PARAMETERS!$B$24*NAP*POWER(A177/555,PARAMETERS!$B$25)</f>
        <v>1.0200000000000001E-4</v>
      </c>
      <c r="J177" s="10">
        <f t="shared" si="10"/>
        <v>4.814478379822632E-4</v>
      </c>
      <c r="K177" s="11">
        <f>PARAMETERS!$B$13*CALCULATIONS!J177/(CALCULATIONS!F177+CALCULATIONS!J177)</f>
        <v>4.3517401050481016E-5</v>
      </c>
      <c r="L177" s="11">
        <f t="shared" si="11"/>
        <v>1.3852018975392986E-5</v>
      </c>
      <c r="O177" s="3"/>
      <c r="P177" s="3"/>
      <c r="Q177" s="3"/>
      <c r="R177" s="3"/>
      <c r="S177" s="3"/>
      <c r="T177" s="3"/>
    </row>
    <row r="178" spans="1:20" x14ac:dyDescent="0.25">
      <c r="A178" s="1">
        <f>PARAMETERS!I179</f>
        <v>740</v>
      </c>
      <c r="B178" s="3">
        <f>PARAMETERS!J179</f>
        <v>2.5319000000000003</v>
      </c>
      <c r="C178" s="3">
        <f>CHL*PARAMETERS!M179</f>
        <v>2.5652001386540498E-5</v>
      </c>
      <c r="D178" s="3">
        <f>NAP*PARAMETERS!$B$21*EXP(-PARAMETERS!$B$22*(A178-443))</f>
        <v>1.0623379225565506E-5</v>
      </c>
      <c r="E178" s="3">
        <f>CDOM*EXP(-PARAMETERS!$B$23*(CALCULATIONS!A178-443))</f>
        <v>5.3685361789270184E-6</v>
      </c>
      <c r="F178" s="10">
        <f t="shared" si="9"/>
        <v>2.5319416439167912</v>
      </c>
      <c r="G178" s="3">
        <f>PARAMETERS!$B$16*PARAMETERS!$B$17*POWER(A178/500,PARAMETERS!$B$18)</f>
        <v>2.6474750842196888E-4</v>
      </c>
      <c r="H178" s="3">
        <f t="shared" si="8"/>
        <v>1.1131607072343681E-4</v>
      </c>
      <c r="I178" s="3">
        <f>PARAMETERS!$B$24*NAP*POWER(A178/555,PARAMETERS!$B$25)</f>
        <v>1.0200000000000001E-4</v>
      </c>
      <c r="J178" s="10">
        <f t="shared" si="10"/>
        <v>4.7806357914540571E-4</v>
      </c>
      <c r="K178" s="11">
        <f>PARAMETERS!$B$13*CALCULATIONS!J178/(CALCULATIONS!F178+CALCULATIONS!J178)</f>
        <v>4.0861948173967225E-5</v>
      </c>
      <c r="L178" s="11">
        <f t="shared" si="11"/>
        <v>1.300676207250346E-5</v>
      </c>
      <c r="O178" s="3"/>
      <c r="P178" s="3"/>
      <c r="Q178" s="3"/>
      <c r="R178" s="3"/>
      <c r="S178" s="3"/>
      <c r="T178" s="3"/>
    </row>
    <row r="179" spans="1:20" x14ac:dyDescent="0.25">
      <c r="A179" s="1">
        <f>PARAMETERS!I180</f>
        <v>742</v>
      </c>
      <c r="B179" s="3">
        <f>PARAMETERS!J180</f>
        <v>2.6231</v>
      </c>
      <c r="C179" s="3">
        <f>CHL*PARAMETERS!M180</f>
        <v>2.5652001386540498E-5</v>
      </c>
      <c r="D179" s="3">
        <f>NAP*PARAMETERS!$B$21*EXP(-PARAMETERS!$B$22*(A179-443))</f>
        <v>1.0365232321750577E-5</v>
      </c>
      <c r="E179" s="3">
        <f>CDOM*EXP(-PARAMETERS!$B$23*(CALCULATIONS!A179-443))</f>
        <v>5.1828509378951217E-6</v>
      </c>
      <c r="F179" s="10">
        <f t="shared" si="9"/>
        <v>2.6231412000846461</v>
      </c>
      <c r="G179" s="3">
        <f>PARAMETERS!$B$16*PARAMETERS!$B$17*POWER(A179/500,PARAMETERS!$B$18)</f>
        <v>2.616784990184759E-4</v>
      </c>
      <c r="H179" s="3">
        <f t="shared" si="8"/>
        <v>1.1104683666042392E-4</v>
      </c>
      <c r="I179" s="3">
        <f>PARAMETERS!$B$24*NAP*POWER(A179/555,PARAMETERS!$B$25)</f>
        <v>1.0200000000000001E-4</v>
      </c>
      <c r="J179" s="10">
        <f t="shared" si="10"/>
        <v>4.7472533567889978E-4</v>
      </c>
      <c r="K179" s="11">
        <f>PARAMETERS!$B$13*CALCULATIONS!J179/(CALCULATIONS!F179+CALCULATIONS!J179)</f>
        <v>3.9166182789013273E-5</v>
      </c>
      <c r="L179" s="11">
        <f t="shared" si="11"/>
        <v>1.2466983185824356E-5</v>
      </c>
      <c r="O179" s="3"/>
      <c r="P179" s="3"/>
      <c r="Q179" s="3"/>
      <c r="R179" s="3"/>
      <c r="S179" s="3"/>
      <c r="T179" s="3"/>
    </row>
    <row r="180" spans="1:20" x14ac:dyDescent="0.25">
      <c r="A180" s="1">
        <f>PARAMETERS!I181</f>
        <v>744</v>
      </c>
      <c r="B180" s="3">
        <f>PARAMETERS!J181</f>
        <v>2.6722999999999999</v>
      </c>
      <c r="C180" s="3">
        <f>CHL*PARAMETERS!M181</f>
        <v>2.5652001386540498E-5</v>
      </c>
      <c r="D180" s="3">
        <f>NAP*PARAMETERS!$B$21*EXP(-PARAMETERS!$B$22*(A180-443))</f>
        <v>1.0113358358262286E-5</v>
      </c>
      <c r="E180" s="3">
        <f>CDOM*EXP(-PARAMETERS!$B$23*(CALCULATIONS!A180-443))</f>
        <v>5.0035881195847878E-6</v>
      </c>
      <c r="F180" s="10">
        <f t="shared" si="9"/>
        <v>2.6723407689478642</v>
      </c>
      <c r="G180" s="3">
        <f>PARAMETERS!$B$16*PARAMETERS!$B$17*POWER(A180/500,PARAMETERS!$B$18)</f>
        <v>2.5865318421459851E-4</v>
      </c>
      <c r="H180" s="3">
        <f t="shared" si="8"/>
        <v>1.1077915834039392E-4</v>
      </c>
      <c r="I180" s="3">
        <f>PARAMETERS!$B$24*NAP*POWER(A180/555,PARAMETERS!$B$25)</f>
        <v>1.0200000000000001E-4</v>
      </c>
      <c r="J180" s="10">
        <f t="shared" si="10"/>
        <v>4.7143234255499244E-4</v>
      </c>
      <c r="K180" s="11">
        <f>PARAMETERS!$B$13*CALCULATIONS!J180/(CALCULATIONS!F180+CALCULATIONS!J180)</f>
        <v>3.8178602151985107E-5</v>
      </c>
      <c r="L180" s="11">
        <f t="shared" si="11"/>
        <v>1.2152626505654606E-5</v>
      </c>
      <c r="O180" s="3"/>
      <c r="P180" s="3"/>
      <c r="Q180" s="3"/>
      <c r="R180" s="3"/>
      <c r="S180" s="3"/>
      <c r="T180" s="3"/>
    </row>
    <row r="181" spans="1:20" x14ac:dyDescent="0.25">
      <c r="A181" s="1">
        <f>PARAMETERS!I182</f>
        <v>746</v>
      </c>
      <c r="B181" s="3">
        <f>PARAMETERS!J182</f>
        <v>2.7021000000000002</v>
      </c>
      <c r="C181" s="3">
        <f>CHL*PARAMETERS!M182</f>
        <v>2.5652001386540498E-5</v>
      </c>
      <c r="D181" s="3">
        <f>NAP*PARAMETERS!$B$21*EXP(-PARAMETERS!$B$22*(A181-443))</f>
        <v>9.8676049033659909E-6</v>
      </c>
      <c r="E181" s="3">
        <f>CDOM*EXP(-PARAMETERS!$B$23*(CALCULATIONS!A181-443))</f>
        <v>4.8305255872586766E-6</v>
      </c>
      <c r="F181" s="10">
        <f t="shared" si="9"/>
        <v>2.7021403501318773</v>
      </c>
      <c r="G181" s="3">
        <f>PARAMETERS!$B$16*PARAMETERS!$B$17*POWER(A181/500,PARAMETERS!$B$18)</f>
        <v>2.5567082695313422E-4</v>
      </c>
      <c r="H181" s="3">
        <f t="shared" si="8"/>
        <v>1.1051302262768086E-4</v>
      </c>
      <c r="I181" s="3">
        <f>PARAMETERS!$B$24*NAP*POWER(A181/555,PARAMETERS!$B$25)</f>
        <v>1.0200000000000001E-4</v>
      </c>
      <c r="J181" s="10">
        <f t="shared" si="10"/>
        <v>4.6818384958081504E-4</v>
      </c>
      <c r="K181" s="11">
        <f>PARAMETERS!$B$13*CALCULATIONS!J181/(CALCULATIONS!F181+CALCULATIONS!J181)</f>
        <v>3.749750563399907E-5</v>
      </c>
      <c r="L181" s="11">
        <f t="shared" si="11"/>
        <v>1.1935826750534295E-5</v>
      </c>
      <c r="O181" s="3"/>
      <c r="P181" s="3"/>
      <c r="Q181" s="3"/>
      <c r="R181" s="3"/>
      <c r="S181" s="3"/>
      <c r="T181" s="3"/>
    </row>
    <row r="182" spans="1:20" x14ac:dyDescent="0.25">
      <c r="A182" s="1">
        <f>PARAMETERS!I183</f>
        <v>748</v>
      </c>
      <c r="B182" s="3">
        <f>PARAMETERS!J183</f>
        <v>2.7216</v>
      </c>
      <c r="C182" s="3">
        <f>CHL*PARAMETERS!M183</f>
        <v>2.5652001386540498E-5</v>
      </c>
      <c r="D182" s="3">
        <f>NAP*PARAMETERS!$B$21*EXP(-PARAMETERS!$B$22*(A182-443))</f>
        <v>9.6278232294008175E-6</v>
      </c>
      <c r="E182" s="3">
        <f>CDOM*EXP(-PARAMETERS!$B$23*(CALCULATIONS!A182-443))</f>
        <v>4.6634488873750705E-6</v>
      </c>
      <c r="F182" s="10">
        <f t="shared" si="9"/>
        <v>2.7216399432735034</v>
      </c>
      <c r="G182" s="3">
        <f>PARAMETERS!$B$16*PARAMETERS!$B$17*POWER(A182/500,PARAMETERS!$B$18)</f>
        <v>2.5273070453872321E-4</v>
      </c>
      <c r="H182" s="3">
        <f t="shared" si="8"/>
        <v>1.1024841653234633E-4</v>
      </c>
      <c r="I182" s="3">
        <f>PARAMETERS!$B$24*NAP*POWER(A182/555,PARAMETERS!$B$25)</f>
        <v>1.0200000000000001E-4</v>
      </c>
      <c r="J182" s="10">
        <f t="shared" si="10"/>
        <v>4.6497912107106953E-4</v>
      </c>
      <c r="K182" s="11">
        <f>PARAMETERS!$B$13*CALCULATIONS!J182/(CALCULATIONS!F182+CALCULATIONS!J182)</f>
        <v>3.697410633959549E-5</v>
      </c>
      <c r="L182" s="11">
        <f t="shared" si="11"/>
        <v>1.1769223580704013E-5</v>
      </c>
      <c r="O182" s="3"/>
      <c r="P182" s="3"/>
      <c r="Q182" s="3"/>
      <c r="R182" s="3"/>
      <c r="S182" s="3"/>
      <c r="T182" s="3"/>
    </row>
    <row r="183" spans="1:20" x14ac:dyDescent="0.25">
      <c r="A183" s="1">
        <f>PARAMETERS!I184</f>
        <v>750</v>
      </c>
      <c r="B183" s="3">
        <f>PARAMETERS!J184</f>
        <v>2.7334000000000001</v>
      </c>
      <c r="C183" s="3">
        <f>CHL*PARAMETERS!M184</f>
        <v>2.5652001386540498E-5</v>
      </c>
      <c r="D183" s="3">
        <f>NAP*PARAMETERS!$B$21*EXP(-PARAMETERS!$B$22*(A183-443))</f>
        <v>9.3938682227710923E-6</v>
      </c>
      <c r="E183" s="3">
        <f>CDOM*EXP(-PARAMETERS!$B$23*(CALCULATIONS!A183-443))</f>
        <v>4.5021509838439002E-6</v>
      </c>
      <c r="F183" s="10">
        <f t="shared" si="9"/>
        <v>2.7334395480205935</v>
      </c>
      <c r="G183" s="3">
        <f>PARAMETERS!$B$16*PARAMETERS!$B$17*POWER(A183/500,PARAMETERS!$B$18)</f>
        <v>2.4983210832061698E-4</v>
      </c>
      <c r="H183" s="3">
        <f t="shared" si="8"/>
        <v>1.0998532720817834E-4</v>
      </c>
      <c r="I183" s="3">
        <f>PARAMETERS!$B$24*NAP*POWER(A183/555,PARAMETERS!$B$25)</f>
        <v>1.0200000000000001E-4</v>
      </c>
      <c r="J183" s="10">
        <f t="shared" si="10"/>
        <v>4.6181743552879532E-4</v>
      </c>
      <c r="K183" s="11">
        <f>PARAMETERS!$B$13*CALCULATIONS!J183/(CALCULATIONS!F183+CALCULATIONS!J183)</f>
        <v>3.656424228285043E-5</v>
      </c>
      <c r="L183" s="11">
        <f t="shared" si="11"/>
        <v>1.1638759799450667E-5</v>
      </c>
      <c r="O183" s="3"/>
      <c r="P183" s="3"/>
      <c r="Q183" s="3"/>
      <c r="R183" s="3"/>
      <c r="S183" s="3"/>
      <c r="T183" s="3"/>
    </row>
    <row r="184" spans="1:20" x14ac:dyDescent="0.25">
      <c r="A184" s="1">
        <f>PARAMETERS!I185</f>
        <v>752</v>
      </c>
      <c r="B184" s="3">
        <f>PARAMETERS!J185</f>
        <v>2.7412999999999998</v>
      </c>
      <c r="C184" s="3">
        <f>CHL*PARAMETERS!M185</f>
        <v>2.5652001386540498E-5</v>
      </c>
      <c r="D184" s="3">
        <f>NAP*PARAMETERS!$B$21*EXP(-PARAMETERS!$B$22*(A184-443))</f>
        <v>9.1655982961249667E-6</v>
      </c>
      <c r="E184" s="3">
        <f>CDOM*EXP(-PARAMETERS!$B$23*(CALCULATIONS!A184-443))</f>
        <v>4.3464320014742689E-6</v>
      </c>
      <c r="F184" s="10">
        <f t="shared" si="9"/>
        <v>2.7413391640316842</v>
      </c>
      <c r="G184" s="3">
        <f>PARAMETERS!$B$16*PARAMETERS!$B$17*POWER(A184/500,PARAMETERS!$B$18)</f>
        <v>2.4697434338327582E-4</v>
      </c>
      <c r="H184" s="3">
        <f t="shared" si="8"/>
        <v>1.0972374195072317E-4</v>
      </c>
      <c r="I184" s="3">
        <f>PARAMETERS!$B$24*NAP*POWER(A184/555,PARAMETERS!$B$25)</f>
        <v>1.0200000000000001E-4</v>
      </c>
      <c r="J184" s="10">
        <f t="shared" si="10"/>
        <v>4.5869808533399899E-4</v>
      </c>
      <c r="K184" s="11">
        <f>PARAMETERS!$B$13*CALCULATIONS!J184/(CALCULATIONS!F184+CALCULATIONS!J184)</f>
        <v>3.6212673457917022E-5</v>
      </c>
      <c r="L184" s="11">
        <f t="shared" si="11"/>
        <v>1.1526851966800345E-5</v>
      </c>
      <c r="O184" s="3"/>
      <c r="P184" s="3"/>
      <c r="Q184" s="3"/>
      <c r="R184" s="3"/>
      <c r="S184" s="3"/>
      <c r="T184" s="3"/>
    </row>
    <row r="185" spans="1:20" x14ac:dyDescent="0.25">
      <c r="A185" s="1">
        <f>PARAMETERS!I186</f>
        <v>754</v>
      </c>
      <c r="B185" s="3">
        <f>PARAMETERS!J186</f>
        <v>2.7477999999999998</v>
      </c>
      <c r="C185" s="3">
        <f>CHL*PARAMETERS!M186</f>
        <v>2.5652001386540498E-5</v>
      </c>
      <c r="D185" s="3">
        <f>NAP*PARAMETERS!$B$21*EXP(-PARAMETERS!$B$22*(A185-443))</f>
        <v>8.9428753026671019E-6</v>
      </c>
      <c r="E185" s="3">
        <f>CDOM*EXP(-PARAMETERS!$B$23*(CALCULATIONS!A185-443))</f>
        <v>4.1960989782955373E-6</v>
      </c>
      <c r="F185" s="10">
        <f t="shared" si="9"/>
        <v>2.7478387909756674</v>
      </c>
      <c r="G185" s="3">
        <f>PARAMETERS!$B$16*PARAMETERS!$B$17*POWER(A185/500,PARAMETERS!$B$18)</f>
        <v>2.4415672824458143E-4</v>
      </c>
      <c r="H185" s="3">
        <f t="shared" si="8"/>
        <v>1.0946364819534938E-4</v>
      </c>
      <c r="I185" s="3">
        <f>PARAMETERS!$B$24*NAP*POWER(A185/555,PARAMETERS!$B$25)</f>
        <v>1.0200000000000001E-4</v>
      </c>
      <c r="J185" s="10">
        <f t="shared" si="10"/>
        <v>4.5562037643993077E-4</v>
      </c>
      <c r="K185" s="11">
        <f>PARAMETERS!$B$13*CALCULATIONS!J185/(CALCULATIONS!F185+CALCULATIONS!J185)</f>
        <v>3.5884671789130046E-5</v>
      </c>
      <c r="L185" s="11">
        <f t="shared" si="11"/>
        <v>1.1422445792940668E-5</v>
      </c>
      <c r="O185" s="3"/>
      <c r="P185" s="3"/>
      <c r="Q185" s="3"/>
      <c r="R185" s="3"/>
      <c r="S185" s="3"/>
      <c r="T185" s="3"/>
    </row>
    <row r="186" spans="1:20" x14ac:dyDescent="0.25">
      <c r="A186" s="1">
        <f>PARAMETERS!I187</f>
        <v>756</v>
      </c>
      <c r="B186" s="3">
        <f>PARAMETERS!J187</f>
        <v>2.7542</v>
      </c>
      <c r="C186" s="3">
        <f>CHL*PARAMETERS!M187</f>
        <v>2.5652001386540498E-5</v>
      </c>
      <c r="D186" s="3">
        <f>NAP*PARAMETERS!$B$21*EXP(-PARAMETERS!$B$22*(A186-443))</f>
        <v>8.7255644525535286E-6</v>
      </c>
      <c r="E186" s="3">
        <f>CDOM*EXP(-PARAMETERS!$B$23*(CALCULATIONS!A186-443))</f>
        <v>4.0509656264450094E-6</v>
      </c>
      <c r="F186" s="10">
        <f t="shared" si="9"/>
        <v>2.7542384285314658</v>
      </c>
      <c r="G186" s="3">
        <f>PARAMETERS!$B$16*PARAMETERS!$B$17*POWER(A186/500,PARAMETERS!$B$18)</f>
        <v>2.4137859456145743E-4</v>
      </c>
      <c r="H186" s="3">
        <f t="shared" si="8"/>
        <v>1.0920503351534314E-4</v>
      </c>
      <c r="I186" s="3">
        <f>PARAMETERS!$B$24*NAP*POWER(A186/555,PARAMETERS!$B$25)</f>
        <v>1.0200000000000001E-4</v>
      </c>
      <c r="J186" s="10">
        <f t="shared" si="10"/>
        <v>4.5258362807680053E-4</v>
      </c>
      <c r="K186" s="11">
        <f>PARAMETERS!$B$13*CALCULATIONS!J186/(CALCULATIONS!F186+CALCULATIONS!J186)</f>
        <v>3.5562725875039617E-5</v>
      </c>
      <c r="L186" s="11">
        <f t="shared" si="11"/>
        <v>1.1319967225669208E-5</v>
      </c>
      <c r="O186" s="3"/>
      <c r="P186" s="3"/>
      <c r="Q186" s="3"/>
      <c r="R186" s="3"/>
      <c r="S186" s="3"/>
      <c r="T186" s="3"/>
    </row>
    <row r="187" spans="1:20" x14ac:dyDescent="0.25">
      <c r="A187" s="1">
        <f>PARAMETERS!I188</f>
        <v>758</v>
      </c>
      <c r="B187" s="3">
        <f>PARAMETERS!J188</f>
        <v>2.7627999999999999</v>
      </c>
      <c r="C187" s="3">
        <f>CHL*PARAMETERS!M188</f>
        <v>2.5652001386540498E-5</v>
      </c>
      <c r="D187" s="3">
        <f>NAP*PARAMETERS!$B$21*EXP(-PARAMETERS!$B$22*(A187-443))</f>
        <v>8.5135342313181202E-6</v>
      </c>
      <c r="E187" s="3">
        <f>CDOM*EXP(-PARAMETERS!$B$23*(CALCULATIONS!A187-443))</f>
        <v>3.9108521013260025E-6</v>
      </c>
      <c r="F187" s="10">
        <f t="shared" si="9"/>
        <v>2.7628380763877192</v>
      </c>
      <c r="G187" s="3">
        <f>PARAMETERS!$B$16*PARAMETERS!$B$17*POWER(A187/500,PARAMETERS!$B$18)</f>
        <v>2.386392868426974E-4</v>
      </c>
      <c r="H187" s="3">
        <f t="shared" si="8"/>
        <v>1.0894788562003439E-4</v>
      </c>
      <c r="I187" s="3">
        <f>PARAMETERS!$B$24*NAP*POWER(A187/555,PARAMETERS!$B$25)</f>
        <v>1.0200000000000001E-4</v>
      </c>
      <c r="J187" s="10">
        <f t="shared" si="10"/>
        <v>4.495871724627318E-4</v>
      </c>
      <c r="K187" s="11">
        <f>PARAMETERS!$B$13*CALCULATIONS!J187/(CALCULATIONS!F187+CALCULATIONS!J187)</f>
        <v>3.5217369013128992E-5</v>
      </c>
      <c r="L187" s="11">
        <f t="shared" si="11"/>
        <v>1.1210036722261646E-5</v>
      </c>
      <c r="O187" s="3"/>
      <c r="P187" s="3"/>
      <c r="Q187" s="3"/>
      <c r="R187" s="3"/>
      <c r="S187" s="3"/>
      <c r="T187" s="3"/>
    </row>
    <row r="188" spans="1:20" x14ac:dyDescent="0.25">
      <c r="A188" s="1">
        <f>PARAMETERS!I189</f>
        <v>760</v>
      </c>
      <c r="B188" s="3">
        <f>PARAMETERS!J189</f>
        <v>2.7709999999999999</v>
      </c>
      <c r="C188" s="3">
        <f>CHL*PARAMETERS!M189</f>
        <v>2.5652001386540498E-5</v>
      </c>
      <c r="D188" s="3">
        <f>NAP*PARAMETERS!$B$21*EXP(-PARAMETERS!$B$22*(A188-443))</f>
        <v>8.3066563202812729E-6</v>
      </c>
      <c r="E188" s="3">
        <f>CDOM*EXP(-PARAMETERS!$B$23*(CALCULATIONS!A188-443))</f>
        <v>3.775584778750195E-6</v>
      </c>
      <c r="F188" s="10">
        <f t="shared" si="9"/>
        <v>2.7710377342424852</v>
      </c>
      <c r="G188" s="3">
        <f>PARAMETERS!$B$16*PARAMETERS!$B$17*POWER(A188/500,PARAMETERS!$B$18)</f>
        <v>2.3593816216880545E-4</v>
      </c>
      <c r="H188" s="3">
        <f t="shared" si="8"/>
        <v>1.0869219235295378E-4</v>
      </c>
      <c r="I188" s="3">
        <f>PARAMETERS!$B$24*NAP*POWER(A188/555,PARAMETERS!$B$25)</f>
        <v>1.0200000000000001E-4</v>
      </c>
      <c r="J188" s="10">
        <f t="shared" si="10"/>
        <v>4.4663035452175922E-4</v>
      </c>
      <c r="K188" s="11">
        <f>PARAMETERS!$B$13*CALCULATIONS!J188/(CALCULATIONS!F188+CALCULATIONS!J188)</f>
        <v>3.4882282712737385E-5</v>
      </c>
      <c r="L188" s="11">
        <f t="shared" si="11"/>
        <v>1.1103375440122246E-5</v>
      </c>
      <c r="O188" s="3"/>
      <c r="P188" s="3"/>
      <c r="Q188" s="3"/>
      <c r="R188" s="3"/>
      <c r="S188" s="3"/>
      <c r="T188" s="3"/>
    </row>
    <row r="189" spans="1:20" x14ac:dyDescent="0.25">
      <c r="A189" s="1">
        <f>PARAMETERS!I190</f>
        <v>762</v>
      </c>
      <c r="B189" s="3">
        <f>PARAMETERS!J190</f>
        <v>2.7732999999999999</v>
      </c>
      <c r="C189" s="3">
        <f>CHL*PARAMETERS!M190</f>
        <v>2.5652001386540498E-5</v>
      </c>
      <c r="D189" s="3">
        <f>NAP*PARAMETERS!$B$21*EXP(-PARAMETERS!$B$22*(A189-443))</f>
        <v>8.104805518892681E-6</v>
      </c>
      <c r="E189" s="3">
        <f>CDOM*EXP(-PARAMETERS!$B$23*(CALCULATIONS!A189-443))</f>
        <v>3.6449960397880731E-6</v>
      </c>
      <c r="F189" s="10">
        <f t="shared" si="9"/>
        <v>2.7733374018029449</v>
      </c>
      <c r="G189" s="3">
        <f>PARAMETERS!$B$16*PARAMETERS!$B$17*POWER(A189/500,PARAMETERS!$B$18)</f>
        <v>2.3327458991866042E-4</v>
      </c>
      <c r="H189" s="3">
        <f t="shared" si="8"/>
        <v>1.0843794169001865E-4</v>
      </c>
      <c r="I189" s="3">
        <f>PARAMETERS!$B$24*NAP*POWER(A189/555,PARAMETERS!$B$25)</f>
        <v>1.0200000000000001E-4</v>
      </c>
      <c r="J189" s="10">
        <f t="shared" si="10"/>
        <v>4.4371253160867903E-4</v>
      </c>
      <c r="K189" s="11">
        <f>PARAMETERS!$B$13*CALCULATIONS!J189/(CALCULATIONS!F189+CALCULATIONS!J189)</f>
        <v>3.4625703211986174E-5</v>
      </c>
      <c r="L189" s="11">
        <f t="shared" si="11"/>
        <v>1.1021703648441034E-5</v>
      </c>
      <c r="O189" s="3"/>
      <c r="P189" s="3"/>
      <c r="Q189" s="3"/>
      <c r="R189" s="3"/>
      <c r="S189" s="3"/>
      <c r="T189" s="3"/>
    </row>
    <row r="190" spans="1:20" x14ac:dyDescent="0.25">
      <c r="A190" s="1">
        <f>PARAMETERS!I191</f>
        <v>764</v>
      </c>
      <c r="B190" s="3">
        <f>PARAMETERS!J191</f>
        <v>2.7742</v>
      </c>
      <c r="C190" s="3">
        <f>CHL*PARAMETERS!M191</f>
        <v>2.5652001386540498E-5</v>
      </c>
      <c r="D190" s="3">
        <f>NAP*PARAMETERS!$B$21*EXP(-PARAMETERS!$B$22*(A190-443))</f>
        <v>7.9078596689611198E-6</v>
      </c>
      <c r="E190" s="3">
        <f>CDOM*EXP(-PARAMETERS!$B$23*(CALCULATIONS!A190-443))</f>
        <v>3.5189240630609593E-6</v>
      </c>
      <c r="F190" s="10">
        <f t="shared" si="9"/>
        <v>2.7742370787851187</v>
      </c>
      <c r="G190" s="3">
        <f>PARAMETERS!$B$16*PARAMETERS!$B$17*POWER(A190/500,PARAMETERS!$B$18)</f>
        <v>2.3064795150281957E-4</v>
      </c>
      <c r="H190" s="3">
        <f t="shared" si="8"/>
        <v>1.0818512173774882E-4</v>
      </c>
      <c r="I190" s="3">
        <f>PARAMETERS!$B$24*NAP*POWER(A190/555,PARAMETERS!$B$25)</f>
        <v>1.0200000000000001E-4</v>
      </c>
      <c r="J190" s="10">
        <f t="shared" si="10"/>
        <v>4.4083307324056841E-4</v>
      </c>
      <c r="K190" s="11">
        <f>PARAMETERS!$B$13*CALCULATIONS!J190/(CALCULATIONS!F190+CALCULATIONS!J190)</f>
        <v>3.438988214020947E-5</v>
      </c>
      <c r="L190" s="11">
        <f t="shared" si="11"/>
        <v>1.0946639469924053E-5</v>
      </c>
      <c r="O190" s="3"/>
      <c r="P190" s="3"/>
      <c r="Q190" s="3"/>
      <c r="R190" s="3"/>
      <c r="S190" s="3"/>
      <c r="T190" s="3"/>
    </row>
    <row r="191" spans="1:20" x14ac:dyDescent="0.25">
      <c r="A191" s="1">
        <f>PARAMETERS!I192</f>
        <v>766</v>
      </c>
      <c r="B191" s="3">
        <f>PARAMETERS!J192</f>
        <v>2.7700999999999998</v>
      </c>
      <c r="C191" s="3">
        <f>CHL*PARAMETERS!M192</f>
        <v>2.5652001386540498E-5</v>
      </c>
      <c r="D191" s="3">
        <f>NAP*PARAMETERS!$B$21*EXP(-PARAMETERS!$B$22*(A191-443))</f>
        <v>7.7156995807254857E-6</v>
      </c>
      <c r="E191" s="3">
        <f>CDOM*EXP(-PARAMETERS!$B$23*(CALCULATIONS!A191-443))</f>
        <v>3.3972126242171199E-6</v>
      </c>
      <c r="F191" s="10">
        <f t="shared" si="9"/>
        <v>2.7701367649135911</v>
      </c>
      <c r="G191" s="3">
        <f>PARAMETERS!$B$16*PARAMETERS!$B$17*POWER(A191/500,PARAMETERS!$B$18)</f>
        <v>2.2805764010328379E-4</v>
      </c>
      <c r="H191" s="3">
        <f t="shared" si="8"/>
        <v>1.0793372073151075E-4</v>
      </c>
      <c r="I191" s="3">
        <f>PARAMETERS!$B$24*NAP*POWER(A191/555,PARAMETERS!$B$25)</f>
        <v>1.0200000000000001E-4</v>
      </c>
      <c r="J191" s="10">
        <f t="shared" si="10"/>
        <v>4.3799136083479454E-4</v>
      </c>
      <c r="K191" s="11">
        <f>PARAMETERS!$B$13*CALCULATIONS!J191/(CALCULATIONS!F191+CALCULATIONS!J191)</f>
        <v>3.4218799260700663E-5</v>
      </c>
      <c r="L191" s="11">
        <f t="shared" si="11"/>
        <v>1.0892182098019609E-5</v>
      </c>
      <c r="O191" s="3"/>
      <c r="P191" s="3"/>
      <c r="Q191" s="3"/>
      <c r="R191" s="3"/>
      <c r="S191" s="3"/>
      <c r="T191" s="3"/>
    </row>
    <row r="192" spans="1:20" x14ac:dyDescent="0.25">
      <c r="A192" s="1">
        <f>PARAMETERS!I193</f>
        <v>768</v>
      </c>
      <c r="B192" s="3">
        <f>PARAMETERS!J193</f>
        <v>2.7610000000000001</v>
      </c>
      <c r="C192" s="3">
        <f>CHL*PARAMETERS!M193</f>
        <v>2.5652001386540498E-5</v>
      </c>
      <c r="D192" s="3">
        <f>NAP*PARAMETERS!$B$21*EXP(-PARAMETERS!$B$22*(A192-443))</f>
        <v>7.5282089607222816E-6</v>
      </c>
      <c r="E192" s="3">
        <f>CDOM*EXP(-PARAMETERS!$B$23*(CALCULATIONS!A192-443))</f>
        <v>3.2797109023435702E-6</v>
      </c>
      <c r="F192" s="10">
        <f t="shared" si="9"/>
        <v>2.7610364599212498</v>
      </c>
      <c r="G192" s="3">
        <f>PARAMETERS!$B$16*PARAMETERS!$B$17*POWER(A192/500,PARAMETERS!$B$18)</f>
        <v>2.2550306041955247E-4</v>
      </c>
      <c r="H192" s="3">
        <f t="shared" si="8"/>
        <v>1.0768372703378988E-4</v>
      </c>
      <c r="I192" s="3">
        <f>PARAMETERS!$B$24*NAP*POWER(A192/555,PARAMETERS!$B$25)</f>
        <v>1.0200000000000001E-4</v>
      </c>
      <c r="J192" s="10">
        <f t="shared" si="10"/>
        <v>4.3518678745334239E-4</v>
      </c>
      <c r="K192" s="11">
        <f>PARAMETERS!$B$13*CALCULATIONS!J192/(CALCULATIONS!F192+CALCULATIONS!J192)</f>
        <v>3.4111766291217349E-5</v>
      </c>
      <c r="L192" s="11">
        <f t="shared" si="11"/>
        <v>1.0858112445685462E-5</v>
      </c>
      <c r="O192" s="3"/>
      <c r="P192" s="3"/>
      <c r="Q192" s="3"/>
      <c r="R192" s="3"/>
      <c r="S192" s="3"/>
      <c r="T192" s="3"/>
    </row>
    <row r="193" spans="1:20" x14ac:dyDescent="0.25">
      <c r="A193" s="1">
        <f>PARAMETERS!I194</f>
        <v>770</v>
      </c>
      <c r="B193" s="3">
        <f>PARAMETERS!J194</f>
        <v>2.7542</v>
      </c>
      <c r="C193" s="3">
        <f>CHL*PARAMETERS!M194</f>
        <v>2.5652001386540498E-5</v>
      </c>
      <c r="D193" s="3">
        <f>NAP*PARAMETERS!$B$21*EXP(-PARAMETERS!$B$22*(A193-443))</f>
        <v>7.3452743414059107E-6</v>
      </c>
      <c r="E193" s="3">
        <f>CDOM*EXP(-PARAMETERS!$B$23*(CALCULATIONS!A193-443))</f>
        <v>3.1662732930736403E-6</v>
      </c>
      <c r="F193" s="10">
        <f t="shared" si="9"/>
        <v>2.7542361635490207</v>
      </c>
      <c r="G193" s="3">
        <f>PARAMETERS!$B$16*PARAMETERS!$B$17*POWER(A193/500,PARAMETERS!$B$18)</f>
        <v>2.2298362842079812E-4</v>
      </c>
      <c r="H193" s="3">
        <f t="shared" si="8"/>
        <v>1.0743512913249042E-4</v>
      </c>
      <c r="I193" s="3">
        <f>PARAMETERS!$B$24*NAP*POWER(A193/555,PARAMETERS!$B$25)</f>
        <v>1.0200000000000001E-4</v>
      </c>
      <c r="J193" s="10">
        <f t="shared" si="10"/>
        <v>4.324187575532885E-4</v>
      </c>
      <c r="K193" s="11">
        <f>PARAMETERS!$B$13*CALCULATIONS!J193/(CALCULATIONS!F193+CALCULATIONS!J193)</f>
        <v>3.3978504742915547E-5</v>
      </c>
      <c r="L193" s="11">
        <f t="shared" si="11"/>
        <v>1.0815693977412839E-5</v>
      </c>
      <c r="O193" s="3"/>
      <c r="P193" s="3"/>
      <c r="Q193" s="3"/>
      <c r="R193" s="3"/>
      <c r="S193" s="3"/>
      <c r="T193" s="3"/>
    </row>
    <row r="194" spans="1:20" x14ac:dyDescent="0.25">
      <c r="A194" s="1">
        <f>PARAMETERS!I195</f>
        <v>772</v>
      </c>
      <c r="B194" s="3">
        <f>PARAMETERS!J195</f>
        <v>2.7481999999999998</v>
      </c>
      <c r="C194" s="3">
        <f>CHL*PARAMETERS!M195</f>
        <v>2.5652001386540498E-5</v>
      </c>
      <c r="D194" s="3">
        <f>NAP*PARAMETERS!$B$21*EXP(-PARAMETERS!$B$22*(A194-443))</f>
        <v>7.1667850124791945E-6</v>
      </c>
      <c r="E194" s="3">
        <f>CDOM*EXP(-PARAMETERS!$B$23*(CALCULATIONS!A194-443))</f>
        <v>3.0567592281586971E-6</v>
      </c>
      <c r="F194" s="10">
        <f t="shared" si="9"/>
        <v>2.7482358755456269</v>
      </c>
      <c r="G194" s="3">
        <f>PARAMETERS!$B$16*PARAMETERS!$B$17*POWER(A194/500,PARAMETERS!$B$18)</f>
        <v>2.2049877110400019E-4</v>
      </c>
      <c r="H194" s="3">
        <f t="shared" si="8"/>
        <v>1.0718791563926244E-4</v>
      </c>
      <c r="I194" s="3">
        <f>PARAMETERS!$B$24*NAP*POWER(A194/555,PARAMETERS!$B$25)</f>
        <v>1.0200000000000001E-4</v>
      </c>
      <c r="J194" s="10">
        <f t="shared" si="10"/>
        <v>4.296866867432626E-4</v>
      </c>
      <c r="K194" s="11">
        <f>PARAMETERS!$B$13*CALCULATIONS!J194/(CALCULATIONS!F194+CALCULATIONS!J194)</f>
        <v>3.3837564080171449E-5</v>
      </c>
      <c r="L194" s="11">
        <f t="shared" si="11"/>
        <v>1.0770831171096098E-5</v>
      </c>
      <c r="O194" s="3"/>
      <c r="P194" s="3"/>
      <c r="Q194" s="3"/>
      <c r="R194" s="3"/>
      <c r="S194" s="3"/>
      <c r="T194" s="3"/>
    </row>
    <row r="195" spans="1:20" x14ac:dyDescent="0.25">
      <c r="A195" s="1">
        <f>PARAMETERS!I196</f>
        <v>774</v>
      </c>
      <c r="B195" s="3">
        <f>PARAMETERS!J196</f>
        <v>2.7305000000000001</v>
      </c>
      <c r="C195" s="3">
        <f>CHL*PARAMETERS!M196</f>
        <v>2.5652001386540498E-5</v>
      </c>
      <c r="D195" s="3">
        <f>NAP*PARAMETERS!$B$21*EXP(-PARAMETERS!$B$22*(A195-443))</f>
        <v>6.9926329538925612E-6</v>
      </c>
      <c r="E195" s="3">
        <f>CDOM*EXP(-PARAMETERS!$B$23*(CALCULATIONS!A195-443))</f>
        <v>2.9510330012804835E-6</v>
      </c>
      <c r="F195" s="10">
        <f t="shared" si="9"/>
        <v>2.7305355956673418</v>
      </c>
      <c r="G195" s="3">
        <f>PARAMETERS!$B$16*PARAMETERS!$B$17*POWER(A195/500,PARAMETERS!$B$18)</f>
        <v>2.180479262578779E-4</v>
      </c>
      <c r="H195" s="3">
        <f t="shared" si="8"/>
        <v>1.0694207528785551E-4</v>
      </c>
      <c r="I195" s="3">
        <f>PARAMETERS!$B$24*NAP*POWER(A195/555,PARAMETERS!$B$25)</f>
        <v>1.0200000000000001E-4</v>
      </c>
      <c r="J195" s="10">
        <f t="shared" si="10"/>
        <v>4.2699000154573341E-4</v>
      </c>
      <c r="K195" s="11">
        <f>PARAMETERS!$B$13*CALCULATIONS!J195/(CALCULATIONS!F195+CALCULATIONS!J195)</f>
        <v>3.3843171125325052E-5</v>
      </c>
      <c r="L195" s="11">
        <f t="shared" si="11"/>
        <v>1.0772615949000769E-5</v>
      </c>
      <c r="O195" s="3"/>
      <c r="P195" s="3"/>
      <c r="Q195" s="3"/>
      <c r="R195" s="3"/>
      <c r="S195" s="3"/>
      <c r="T195" s="3"/>
    </row>
    <row r="196" spans="1:20" x14ac:dyDescent="0.25">
      <c r="A196" s="1">
        <f>PARAMETERS!I197</f>
        <v>776</v>
      </c>
      <c r="B196" s="3">
        <f>PARAMETERS!J197</f>
        <v>2.7096999999999998</v>
      </c>
      <c r="C196" s="3">
        <f>CHL*PARAMETERS!M197</f>
        <v>2.5652001386540498E-5</v>
      </c>
      <c r="D196" s="3">
        <f>NAP*PARAMETERS!$B$21*EXP(-PARAMETERS!$B$22*(A196-443))</f>
        <v>6.8227127704713055E-6</v>
      </c>
      <c r="E196" s="3">
        <f>CDOM*EXP(-PARAMETERS!$B$23*(CALCULATIONS!A196-443))</f>
        <v>2.8489635998882097E-6</v>
      </c>
      <c r="F196" s="10">
        <f t="shared" si="9"/>
        <v>2.7097353236777564</v>
      </c>
      <c r="G196" s="3">
        <f>PARAMETERS!$B$16*PARAMETERS!$B$17*POWER(A196/500,PARAMETERS!$B$18)</f>
        <v>2.1563054223246939E-4</v>
      </c>
      <c r="H196" s="3">
        <f t="shared" si="8"/>
        <v>1.0669759693249814E-4</v>
      </c>
      <c r="I196" s="3">
        <f>PARAMETERS!$B$24*NAP*POWER(A196/555,PARAMETERS!$B$25)</f>
        <v>1.0200000000000001E-4</v>
      </c>
      <c r="J196" s="10">
        <f t="shared" si="10"/>
        <v>4.2432813916496749E-4</v>
      </c>
      <c r="K196" s="11">
        <f>PARAMETERS!$B$13*CALCULATIONS!J196/(CALCULATIONS!F196+CALCULATIONS!J196)</f>
        <v>3.3890349849717104E-5</v>
      </c>
      <c r="L196" s="11">
        <f t="shared" si="11"/>
        <v>1.0787633403392299E-5</v>
      </c>
      <c r="O196" s="3"/>
      <c r="P196" s="3"/>
      <c r="Q196" s="3"/>
      <c r="R196" s="3"/>
      <c r="S196" s="3"/>
      <c r="T196" s="3"/>
    </row>
    <row r="197" spans="1:20" x14ac:dyDescent="0.25">
      <c r="A197" s="1">
        <f>PARAMETERS!I198</f>
        <v>778</v>
      </c>
      <c r="B197" s="3">
        <f>PARAMETERS!J198</f>
        <v>2.6896</v>
      </c>
      <c r="C197" s="3">
        <f>CHL*PARAMETERS!M198</f>
        <v>2.5652001386540498E-5</v>
      </c>
      <c r="D197" s="3">
        <f>NAP*PARAMETERS!$B$21*EXP(-PARAMETERS!$B$22*(A197-443))</f>
        <v>6.6569216281314763E-6</v>
      </c>
      <c r="E197" s="3">
        <f>CDOM*EXP(-PARAMETERS!$B$23*(CALCULATIONS!A197-443))</f>
        <v>2.7504245428519795E-6</v>
      </c>
      <c r="F197" s="10">
        <f t="shared" si="9"/>
        <v>2.6896350593475575</v>
      </c>
      <c r="G197" s="3">
        <f>PARAMETERS!$B$16*PARAMETERS!$B$17*POWER(A197/500,PARAMETERS!$B$18)</f>
        <v>2.1324607771420841E-4</v>
      </c>
      <c r="H197" s="3">
        <f t="shared" si="8"/>
        <v>1.0645446954630334E-4</v>
      </c>
      <c r="I197" s="3">
        <f>PARAMETERS!$B$24*NAP*POWER(A197/555,PARAMETERS!$B$25)</f>
        <v>1.0200000000000001E-4</v>
      </c>
      <c r="J197" s="10">
        <f t="shared" si="10"/>
        <v>4.2170054726051176E-4</v>
      </c>
      <c r="K197" s="11">
        <f>PARAMETERS!$B$13*CALCULATIONS!J197/(CALCULATIONS!F197+CALCULATIONS!J197)</f>
        <v>3.393218417381689E-5</v>
      </c>
      <c r="L197" s="11">
        <f t="shared" si="11"/>
        <v>1.0800949682335078E-5</v>
      </c>
      <c r="O197" s="3"/>
      <c r="P197" s="3"/>
      <c r="Q197" s="3"/>
      <c r="R197" s="3"/>
      <c r="S197" s="3"/>
      <c r="T197" s="3"/>
    </row>
    <row r="198" spans="1:20" x14ac:dyDescent="0.25">
      <c r="A198" s="1">
        <f>PARAMETERS!I199</f>
        <v>780</v>
      </c>
      <c r="B198" s="3">
        <f>PARAMETERS!J199</f>
        <v>2.6589999999999998</v>
      </c>
      <c r="C198" s="3">
        <f>CHL*PARAMETERS!M199</f>
        <v>2.5652001386540498E-5</v>
      </c>
      <c r="D198" s="3">
        <f>NAP*PARAMETERS!$B$21*EXP(-PARAMETERS!$B$22*(A198-443))</f>
        <v>6.495159191645611E-6</v>
      </c>
      <c r="E198" s="3">
        <f>CDOM*EXP(-PARAMETERS!$B$23*(CALCULATIONS!A198-443))</f>
        <v>2.6552937237314523E-6</v>
      </c>
      <c r="F198" s="10">
        <f t="shared" si="9"/>
        <v>2.6590348024543018</v>
      </c>
      <c r="G198" s="3">
        <f>PARAMETERS!$B$16*PARAMETERS!$B$17*POWER(A198/500,PARAMETERS!$B$18)</f>
        <v>2.1089400150635265E-4</v>
      </c>
      <c r="H198" s="3">
        <f t="shared" si="8"/>
        <v>1.0621268221969879E-4</v>
      </c>
      <c r="I198" s="3">
        <f>PARAMETERS!$B$24*NAP*POWER(A198/555,PARAMETERS!$B$25)</f>
        <v>1.0200000000000001E-4</v>
      </c>
      <c r="J198" s="10">
        <f t="shared" si="10"/>
        <v>4.191066837260514E-4</v>
      </c>
      <c r="K198" s="11">
        <f>PARAMETERS!$B$13*CALCULATIONS!J198/(CALCULATIONS!F198+CALCULATIONS!J198)</f>
        <v>3.4111531118568145E-5</v>
      </c>
      <c r="L198" s="11">
        <f t="shared" si="11"/>
        <v>1.0858037587906261E-5</v>
      </c>
      <c r="O198" s="3"/>
      <c r="P198" s="3"/>
      <c r="Q198" s="3"/>
      <c r="R198" s="3"/>
      <c r="S198" s="3"/>
      <c r="T198" s="3"/>
    </row>
    <row r="199" spans="1:20" x14ac:dyDescent="0.25">
      <c r="A199" s="1">
        <f>PARAMETERS!I200</f>
        <v>782</v>
      </c>
      <c r="B199" s="3">
        <f>PARAMETERS!J200</f>
        <v>2.6332</v>
      </c>
      <c r="C199" s="3">
        <f>CHL*PARAMETERS!M200</f>
        <v>2.5652001386540498E-5</v>
      </c>
      <c r="D199" s="3">
        <f>NAP*PARAMETERS!$B$21*EXP(-PARAMETERS!$B$22*(A199-443))</f>
        <v>6.3373275639208557E-6</v>
      </c>
      <c r="E199" s="3">
        <f>CDOM*EXP(-PARAMETERS!$B$23*(CALCULATIONS!A199-443))</f>
        <v>2.5634532594654375E-6</v>
      </c>
      <c r="F199" s="10">
        <f t="shared" si="9"/>
        <v>2.6332345527822101</v>
      </c>
      <c r="G199" s="3">
        <f>PARAMETERS!$B$16*PARAMETERS!$B$17*POWER(A199/500,PARAMETERS!$B$18)</f>
        <v>2.0857379231462386E-4</v>
      </c>
      <c r="H199" s="3">
        <f t="shared" si="8"/>
        <v>1.0597222415888215E-4</v>
      </c>
      <c r="I199" s="3">
        <f>PARAMETERS!$B$24*NAP*POWER(A199/555,PARAMETERS!$B$25)</f>
        <v>1.0200000000000001E-4</v>
      </c>
      <c r="J199" s="10">
        <f t="shared" si="10"/>
        <v>4.16546016473506E-4</v>
      </c>
      <c r="K199" s="11">
        <f>PARAMETERS!$B$13*CALCULATIONS!J199/(CALCULATIONS!F199+CALCULATIONS!J199)</f>
        <v>3.4235276537517359E-5</v>
      </c>
      <c r="L199" s="11">
        <f t="shared" si="11"/>
        <v>1.089742697812775E-5</v>
      </c>
      <c r="O199" s="3"/>
      <c r="P199" s="3"/>
      <c r="Q199" s="3"/>
      <c r="R199" s="3"/>
      <c r="S199" s="3"/>
      <c r="T199" s="3"/>
    </row>
    <row r="200" spans="1:20" x14ac:dyDescent="0.25">
      <c r="A200" s="1">
        <f>PARAMETERS!I201</f>
        <v>784</v>
      </c>
      <c r="B200" s="3">
        <f>PARAMETERS!J201</f>
        <v>2.6061999999999999</v>
      </c>
      <c r="C200" s="3">
        <f>CHL*PARAMETERS!M201</f>
        <v>2.5652001386540498E-5</v>
      </c>
      <c r="D200" s="3">
        <f>NAP*PARAMETERS!$B$21*EXP(-PARAMETERS!$B$22*(A200-443))</f>
        <v>6.1833312267525262E-6</v>
      </c>
      <c r="E200" s="3">
        <f>CDOM*EXP(-PARAMETERS!$B$23*(CALCULATIONS!A200-443))</f>
        <v>2.4747893442949918E-6</v>
      </c>
      <c r="F200" s="10">
        <f t="shared" si="9"/>
        <v>2.6062343101219572</v>
      </c>
      <c r="G200" s="3">
        <f>PARAMETERS!$B$16*PARAMETERS!$B$17*POWER(A200/500,PARAMETERS!$B$18)</f>
        <v>2.0628493853792296E-4</v>
      </c>
      <c r="H200" s="3">
        <f t="shared" ref="H200:H208" si="12">(0.002+0.01*MAX(0,(0.5-0.25*LOG10(CHL)))*POWER(A200/550,$H$3))*0.416*POWER(CHL,0.766)</f>
        <v>1.0573308468430021E-4</v>
      </c>
      <c r="I200" s="3">
        <f>PARAMETERS!$B$24*NAP*POWER(A200/555,PARAMETERS!$B$25)</f>
        <v>1.0200000000000001E-4</v>
      </c>
      <c r="J200" s="10">
        <f t="shared" si="10"/>
        <v>4.1401802322222313E-4</v>
      </c>
      <c r="K200" s="11">
        <f>PARAMETERS!$B$13*CALCULATIONS!J200/(CALCULATIONS!F200+CALCULATIONS!J200)</f>
        <v>3.4380002115647297E-5</v>
      </c>
      <c r="L200" s="11">
        <f t="shared" si="11"/>
        <v>1.0943494560430174E-5</v>
      </c>
      <c r="O200" s="3"/>
      <c r="P200" s="3"/>
      <c r="Q200" s="3"/>
      <c r="R200" s="3"/>
      <c r="S200" s="3"/>
      <c r="T200" s="3"/>
    </row>
    <row r="201" spans="1:20" x14ac:dyDescent="0.25">
      <c r="A201" s="1">
        <f>PARAMETERS!I202</f>
        <v>786</v>
      </c>
      <c r="B201" s="3">
        <f>PARAMETERS!J202</f>
        <v>2.5701999999999998</v>
      </c>
      <c r="C201" s="3">
        <f>CHL*PARAMETERS!M202</f>
        <v>2.5652001386540498E-5</v>
      </c>
      <c r="D201" s="3">
        <f>NAP*PARAMETERS!$B$21*EXP(-PARAMETERS!$B$22*(A201-443))</f>
        <v>6.0330769830174471E-6</v>
      </c>
      <c r="E201" s="3">
        <f>CDOM*EXP(-PARAMETERS!$B$23*(CALCULATIONS!A201-443))</f>
        <v>2.3891921087389804E-6</v>
      </c>
      <c r="F201" s="10">
        <f t="shared" ref="F201:F208" si="13">SUM(B201:E201)</f>
        <v>2.5702340742704779</v>
      </c>
      <c r="G201" s="3">
        <f>PARAMETERS!$B$16*PARAMETERS!$B$17*POWER(A201/500,PARAMETERS!$B$18)</f>
        <v>2.0402693806398738E-4</v>
      </c>
      <c r="H201" s="3">
        <f t="shared" si="12"/>
        <v>1.0549525322915212E-4</v>
      </c>
      <c r="I201" s="3">
        <f>PARAMETERS!$B$24*NAP*POWER(A201/555,PARAMETERS!$B$25)</f>
        <v>1.0200000000000001E-4</v>
      </c>
      <c r="J201" s="10">
        <f t="shared" ref="J201:J208" si="14">SUM(G201:I201)</f>
        <v>4.1152219129313953E-4</v>
      </c>
      <c r="K201" s="11">
        <f>PARAMETERS!$B$13*CALCULATIONS!J201/(CALCULATIONS!F201+CALCULATIONS!J201)</f>
        <v>3.4651349072486768E-5</v>
      </c>
      <c r="L201" s="11">
        <f t="shared" ref="L201:L258" si="15">K201/PI()</f>
        <v>1.1029866979378064E-5</v>
      </c>
      <c r="O201" s="3"/>
      <c r="P201" s="3"/>
      <c r="Q201" s="3"/>
      <c r="R201" s="3"/>
      <c r="S201" s="3"/>
      <c r="T201" s="3"/>
    </row>
    <row r="202" spans="1:20" x14ac:dyDescent="0.25">
      <c r="A202" s="1">
        <f>PARAMETERS!I203</f>
        <v>788</v>
      </c>
      <c r="B202" s="3">
        <f>PARAMETERS!J203</f>
        <v>2.5335000000000001</v>
      </c>
      <c r="C202" s="3">
        <f>CHL*PARAMETERS!M203</f>
        <v>2.5652001386540498E-5</v>
      </c>
      <c r="D202" s="3">
        <f>NAP*PARAMETERS!$B$21*EXP(-PARAMETERS!$B$22*(A202-443))</f>
        <v>5.8864739002718816E-6</v>
      </c>
      <c r="E202" s="3">
        <f>CDOM*EXP(-PARAMETERS!$B$23*(CALCULATIONS!A202-443))</f>
        <v>2.3065554834473228E-6</v>
      </c>
      <c r="F202" s="10">
        <f t="shared" si="13"/>
        <v>2.5335338450307705</v>
      </c>
      <c r="G202" s="3">
        <f>PARAMETERS!$B$16*PARAMETERS!$B$17*POWER(A202/500,PARAMETERS!$B$18)</f>
        <v>2.0179929806986145E-4</v>
      </c>
      <c r="H202" s="3">
        <f t="shared" si="12"/>
        <v>1.0525871933791591E-4</v>
      </c>
      <c r="I202" s="3">
        <f>PARAMETERS!$B$24*NAP*POWER(A202/555,PARAMETERS!$B$25)</f>
        <v>1.0200000000000001E-4</v>
      </c>
      <c r="J202" s="10">
        <f t="shared" si="14"/>
        <v>4.0905801740777738E-4</v>
      </c>
      <c r="K202" s="11">
        <f>PARAMETERS!$B$13*CALCULATIONS!J202/(CALCULATIONS!F202+CALCULATIONS!J202)</f>
        <v>3.494275787804433E-5</v>
      </c>
      <c r="L202" s="11">
        <f t="shared" si="15"/>
        <v>1.1122625283108046E-5</v>
      </c>
      <c r="O202" s="3"/>
      <c r="P202" s="3"/>
      <c r="Q202" s="3"/>
      <c r="R202" s="3"/>
      <c r="S202" s="3"/>
      <c r="T202" s="3"/>
    </row>
    <row r="203" spans="1:20" x14ac:dyDescent="0.25">
      <c r="A203" s="1">
        <f>PARAMETERS!I204</f>
        <v>790</v>
      </c>
      <c r="B203" s="3">
        <f>PARAMETERS!J204</f>
        <v>2.4923999999999999</v>
      </c>
      <c r="C203" s="3">
        <f>CHL*PARAMETERS!M204</f>
        <v>2.5652001386540498E-5</v>
      </c>
      <c r="D203" s="3">
        <f>NAP*PARAMETERS!$B$21*EXP(-PARAMETERS!$B$22*(A203-443))</f>
        <v>5.7434332557201271E-6</v>
      </c>
      <c r="E203" s="3">
        <f>CDOM*EXP(-PARAMETERS!$B$23*(CALCULATIONS!A203-443))</f>
        <v>2.2267770677632601E-6</v>
      </c>
      <c r="F203" s="10">
        <f t="shared" si="13"/>
        <v>2.4924336222117098</v>
      </c>
      <c r="G203" s="3">
        <f>PARAMETERS!$B$16*PARAMETERS!$B$17*POWER(A203/500,PARAMETERS!$B$18)</f>
        <v>1.9960153482705522E-4</v>
      </c>
      <c r="H203" s="3">
        <f t="shared" si="12"/>
        <v>1.0502347266489777E-4</v>
      </c>
      <c r="I203" s="3">
        <f>PARAMETERS!$B$24*NAP*POWER(A203/555,PARAMETERS!$B$25)</f>
        <v>1.0200000000000001E-4</v>
      </c>
      <c r="J203" s="10">
        <f t="shared" si="14"/>
        <v>4.06625007491953E-4</v>
      </c>
      <c r="K203" s="11">
        <f>PARAMETERS!$B$13*CALCULATIONS!J203/(CALCULATIONS!F203+CALCULATIONS!J203)</f>
        <v>3.5307643355579469E-5</v>
      </c>
      <c r="L203" s="11">
        <f t="shared" si="15"/>
        <v>1.1238771937932375E-5</v>
      </c>
      <c r="O203" s="3"/>
      <c r="P203" s="3"/>
      <c r="Q203" s="3"/>
      <c r="R203" s="3"/>
      <c r="S203" s="3"/>
      <c r="T203" s="3"/>
    </row>
    <row r="204" spans="1:20" x14ac:dyDescent="0.25">
      <c r="A204" s="1">
        <f>PARAMETERS!I205</f>
        <v>792</v>
      </c>
      <c r="B204" s="3">
        <f>PARAMETERS!J205</f>
        <v>2.4480999999999997</v>
      </c>
      <c r="C204" s="3">
        <f>CHL*PARAMETERS!M205</f>
        <v>2.5652001386540498E-5</v>
      </c>
      <c r="D204" s="3">
        <f>NAP*PARAMETERS!$B$21*EXP(-PARAMETERS!$B$22*(A204-443))</f>
        <v>5.6038684825202989E-6</v>
      </c>
      <c r="E204" s="3">
        <f>CDOM*EXP(-PARAMETERS!$B$23*(CALCULATIONS!A204-443))</f>
        <v>2.1497580028317538E-6</v>
      </c>
      <c r="F204" s="10">
        <f t="shared" si="13"/>
        <v>2.4481334056278716</v>
      </c>
      <c r="G204" s="3">
        <f>PARAMETERS!$B$16*PARAMETERS!$B$17*POWER(A204/500,PARAMETERS!$B$18)</f>
        <v>1.9743317351126962E-4</v>
      </c>
      <c r="H204" s="3">
        <f t="shared" si="12"/>
        <v>1.0478950297280418E-4</v>
      </c>
      <c r="I204" s="3">
        <f>PARAMETERS!$B$24*NAP*POWER(A204/555,PARAMETERS!$B$25)</f>
        <v>1.0200000000000001E-4</v>
      </c>
      <c r="J204" s="10">
        <f t="shared" si="14"/>
        <v>4.0422267648407382E-4</v>
      </c>
      <c r="K204" s="11">
        <f>PARAMETERS!$B$13*CALCULATIONS!J204/(CALCULATIONS!F204+CALCULATIONS!J204)</f>
        <v>3.5734111274664708E-5</v>
      </c>
      <c r="L204" s="11">
        <f t="shared" si="15"/>
        <v>1.1374520892717434E-5</v>
      </c>
      <c r="O204" s="3"/>
      <c r="P204" s="3"/>
      <c r="Q204" s="3"/>
      <c r="R204" s="3"/>
      <c r="S204" s="3"/>
      <c r="T204" s="3"/>
    </row>
    <row r="205" spans="1:20" x14ac:dyDescent="0.25">
      <c r="A205" s="1">
        <f>PARAMETERS!I206</f>
        <v>794</v>
      </c>
      <c r="B205" s="3">
        <f>PARAMETERS!J206</f>
        <v>2.4083000000000001</v>
      </c>
      <c r="C205" s="3">
        <f>CHL*PARAMETERS!M206</f>
        <v>2.5652001386540498E-5</v>
      </c>
      <c r="D205" s="3">
        <f>NAP*PARAMETERS!$B$21*EXP(-PARAMETERS!$B$22*(A205-443))</f>
        <v>5.4676951173948818E-6</v>
      </c>
      <c r="E205" s="3">
        <f>CDOM*EXP(-PARAMETERS!$B$23*(CALCULATIONS!A205-443))</f>
        <v>2.0754028490967474E-6</v>
      </c>
      <c r="F205" s="10">
        <f t="shared" si="13"/>
        <v>2.4083331950993534</v>
      </c>
      <c r="G205" s="3">
        <f>PARAMETERS!$B$16*PARAMETERS!$B$17*POWER(A205/500,PARAMETERS!$B$18)</f>
        <v>1.9529374801656986E-4</v>
      </c>
      <c r="H205" s="3">
        <f t="shared" si="12"/>
        <v>1.045568001313359E-4</v>
      </c>
      <c r="I205" s="3">
        <f>PARAMETERS!$B$24*NAP*POWER(A205/555,PARAMETERS!$B$25)</f>
        <v>1.0200000000000001E-4</v>
      </c>
      <c r="J205" s="10">
        <f t="shared" si="14"/>
        <v>4.0185054814790579E-4</v>
      </c>
      <c r="K205" s="11">
        <f>PARAMETERS!$B$13*CALCULATIONS!J205/(CALCULATIONS!F205+CALCULATIONS!J205)</f>
        <v>3.6111425143025446E-5</v>
      </c>
      <c r="L205" s="11">
        <f t="shared" si="15"/>
        <v>1.1494623627210907E-5</v>
      </c>
      <c r="O205" s="3"/>
      <c r="P205" s="3"/>
      <c r="Q205" s="3"/>
      <c r="R205" s="3"/>
      <c r="S205" s="3"/>
      <c r="T205" s="3"/>
    </row>
    <row r="206" spans="1:20" x14ac:dyDescent="0.25">
      <c r="A206" s="1">
        <f>PARAMETERS!I207</f>
        <v>796</v>
      </c>
      <c r="B206" s="3">
        <f>PARAMETERS!J207</f>
        <v>2.3742000000000001</v>
      </c>
      <c r="C206" s="3">
        <f>CHL*PARAMETERS!M207</f>
        <v>2.5652001386540498E-5</v>
      </c>
      <c r="D206" s="3">
        <f>NAP*PARAMETERS!$B$21*EXP(-PARAMETERS!$B$22*(A206-443))</f>
        <v>5.3348307495143936E-6</v>
      </c>
      <c r="E206" s="3">
        <f>CDOM*EXP(-PARAMETERS!$B$23*(CALCULATIONS!A206-443))</f>
        <v>2.0036194680355348E-6</v>
      </c>
      <c r="F206" s="10">
        <f t="shared" si="13"/>
        <v>2.3742329904516044</v>
      </c>
      <c r="G206" s="3">
        <f>PARAMETERS!$B$16*PARAMETERS!$B$17*POWER(A206/500,PARAMETERS!$B$18)</f>
        <v>1.9318280077389172E-4</v>
      </c>
      <c r="H206" s="3">
        <f t="shared" si="12"/>
        <v>1.0432535411580368E-4</v>
      </c>
      <c r="I206" s="3">
        <f>PARAMETERS!$B$24*NAP*POWER(A206/555,PARAMETERS!$B$25)</f>
        <v>1.0200000000000001E-4</v>
      </c>
      <c r="J206" s="10">
        <f t="shared" si="14"/>
        <v>3.9950815488969539E-4</v>
      </c>
      <c r="K206" s="11">
        <f>PARAMETERS!$B$13*CALCULATIONS!J206/(CALCULATIONS!F206+CALCULATIONS!J206)</f>
        <v>3.6416511139891546E-5</v>
      </c>
      <c r="L206" s="11">
        <f t="shared" si="15"/>
        <v>1.1591735516149623E-5</v>
      </c>
      <c r="O206" s="3"/>
      <c r="P206" s="3"/>
      <c r="Q206" s="3"/>
      <c r="R206" s="3"/>
      <c r="S206" s="3"/>
      <c r="T206" s="3"/>
    </row>
    <row r="207" spans="1:20" x14ac:dyDescent="0.25">
      <c r="A207" s="1">
        <f>PARAMETERS!I208</f>
        <v>798</v>
      </c>
      <c r="B207" s="3">
        <f>PARAMETERS!J208</f>
        <v>2.3331999999999997</v>
      </c>
      <c r="C207" s="3">
        <f>CHL*PARAMETERS!M208</f>
        <v>2.5652001386540498E-5</v>
      </c>
      <c r="D207" s="3">
        <f>NAP*PARAMETERS!$B$21*EXP(-PARAMETERS!$B$22*(A207-443))</f>
        <v>5.2051949706230926E-6</v>
      </c>
      <c r="E207" s="3">
        <f>CDOM*EXP(-PARAMETERS!$B$23*(CALCULATIONS!A207-443))</f>
        <v>1.9343189079836631E-6</v>
      </c>
      <c r="F207" s="10">
        <f t="shared" si="13"/>
        <v>2.3332327915152651</v>
      </c>
      <c r="G207" s="3">
        <f>PARAMETERS!$B$16*PARAMETERS!$B$17*POWER(A207/500,PARAMETERS!$B$18)</f>
        <v>1.9109988257377057E-4</v>
      </c>
      <c r="H207" s="3">
        <f t="shared" si="12"/>
        <v>1.0409515500576552E-4</v>
      </c>
      <c r="I207" s="3">
        <f>PARAMETERS!$B$24*NAP*POWER(A207/555,PARAMETERS!$B$25)</f>
        <v>1.0200000000000001E-4</v>
      </c>
      <c r="J207" s="10">
        <f t="shared" si="14"/>
        <v>3.9719503757953609E-4</v>
      </c>
      <c r="K207" s="11">
        <f>PARAMETERS!$B$13*CALCULATIONS!J207/(CALCULATIONS!F207+CALCULATIONS!J207)</f>
        <v>3.684180604005715E-5</v>
      </c>
      <c r="L207" s="11">
        <f t="shared" si="15"/>
        <v>1.1727111087415884E-5</v>
      </c>
      <c r="O207" s="3"/>
      <c r="P207" s="3"/>
      <c r="Q207" s="3"/>
      <c r="R207" s="3"/>
      <c r="S207" s="3"/>
      <c r="T207" s="3"/>
    </row>
    <row r="208" spans="1:20" x14ac:dyDescent="0.25">
      <c r="A208" s="1">
        <f>PARAMETERS!I209</f>
        <v>800</v>
      </c>
      <c r="B208" s="3">
        <f>PARAMETERS!J209</f>
        <v>2.2932000000000001</v>
      </c>
      <c r="C208" s="3">
        <f>CHL*PARAMETERS!M209</f>
        <v>2.5652001386540498E-5</v>
      </c>
      <c r="D208" s="3">
        <f>NAP*PARAMETERS!$B$21*EXP(-PARAMETERS!$B$22*(A208-443))</f>
        <v>5.078709326376703E-6</v>
      </c>
      <c r="E208" s="3">
        <f>CDOM*EXP(-PARAMETERS!$B$23*(CALCULATIONS!A208-443))</f>
        <v>1.8674152939088676E-6</v>
      </c>
      <c r="F208" s="10">
        <f t="shared" si="13"/>
        <v>2.2932325981260071</v>
      </c>
      <c r="G208" s="3">
        <f>PARAMETERS!$B$16*PARAMETERS!$B$17*POWER(A208/500,PARAMETERS!$B$18)</f>
        <v>1.8904455239318287E-4</v>
      </c>
      <c r="H208" s="3">
        <f t="shared" si="12"/>
        <v>1.0386619298368463E-4</v>
      </c>
      <c r="I208" s="3">
        <f>PARAMETERS!$B$24*NAP*POWER(A208/555,PARAMETERS!$B$25)</f>
        <v>1.0200000000000001E-4</v>
      </c>
      <c r="J208" s="10">
        <f t="shared" si="14"/>
        <v>3.9491074537686749E-4</v>
      </c>
      <c r="K208" s="11">
        <f>PARAMETERS!$B$13*CALCULATIONS!J208/(CALCULATIONS!F208+CALCULATIONS!J208)</f>
        <v>3.7268778325250858E-5</v>
      </c>
      <c r="L208" s="11">
        <f t="shared" si="15"/>
        <v>1.1863020586919525E-5</v>
      </c>
      <c r="O208" s="3"/>
      <c r="P208" s="3"/>
      <c r="Q208" s="3"/>
      <c r="R208" s="3"/>
      <c r="S208" s="3"/>
      <c r="T208" s="3"/>
    </row>
    <row r="209" spans="1:12" x14ac:dyDescent="0.25">
      <c r="A209" s="1">
        <f>PARAMETERS!I210</f>
        <v>802</v>
      </c>
      <c r="B209" s="3">
        <f>PARAMETERS!J210</f>
        <v>2.2281599999999999</v>
      </c>
      <c r="C209" s="3">
        <f>CHL*PARAMETERS!M210</f>
        <v>2.5652001386540498E-5</v>
      </c>
      <c r="D209" s="3">
        <f>NAP*PARAMETERS!$B$21*EXP(-PARAMETERS!$B$22*(A209-443))</f>
        <v>4.9552972688625477E-6</v>
      </c>
      <c r="E209" s="3">
        <f>CDOM*EXP(-PARAMETERS!$B$23*(CALCULATIONS!A209-443))</f>
        <v>1.8028257209975008E-6</v>
      </c>
      <c r="F209" s="10">
        <f t="shared" ref="F209:F258" si="16">SUM(B209:E209)</f>
        <v>2.2281924101243766</v>
      </c>
      <c r="G209" s="3">
        <f>PARAMETERS!$B$16*PARAMETERS!$B$17*POWER(A209/500,PARAMETERS!$B$18)</f>
        <v>1.870163772263959E-4</v>
      </c>
      <c r="H209" s="3">
        <f t="shared" ref="H209:H258" si="17">(0.002+0.01*MAX(0,(0.5-0.25*LOG10(CHL)))*POWER(A209/550,$H$3))*0.416*POWER(CHL,0.766)</f>
        <v>1.0363845833360809E-4</v>
      </c>
      <c r="I209" s="3">
        <f>PARAMETERS!$B$24*NAP*POWER(A209/555,PARAMETERS!$B$25)</f>
        <v>1.0200000000000001E-4</v>
      </c>
      <c r="J209" s="10">
        <f t="shared" ref="J209:J258" si="18">SUM(G209:I209)</f>
        <v>3.9265483556000398E-4</v>
      </c>
      <c r="K209" s="11">
        <f>PARAMETERS!$B$13*CALCULATIONS!J209/(CALCULATIONS!F209+CALCULATIONS!J209)</f>
        <v>3.8137377796473783E-5</v>
      </c>
      <c r="L209" s="11">
        <f t="shared" si="15"/>
        <v>1.2139504385743795E-5</v>
      </c>
    </row>
    <row r="210" spans="1:12" x14ac:dyDescent="0.25">
      <c r="A210" s="1">
        <f>PARAMETERS!I211</f>
        <v>804</v>
      </c>
      <c r="B210" s="3">
        <f>PARAMETERS!J211</f>
        <v>2.2101199999999999</v>
      </c>
      <c r="C210" s="3">
        <f>CHL*PARAMETERS!M211</f>
        <v>2.5652001386540498E-5</v>
      </c>
      <c r="D210" s="3">
        <f>NAP*PARAMETERS!$B$21*EXP(-PARAMETERS!$B$22*(A210-443))</f>
        <v>4.834884110273519E-6</v>
      </c>
      <c r="E210" s="3">
        <f>CDOM*EXP(-PARAMETERS!$B$23*(CALCULATIONS!A210-443))</f>
        <v>1.7404701519215315E-6</v>
      </c>
      <c r="F210" s="10">
        <f t="shared" si="16"/>
        <v>2.2101522273556489</v>
      </c>
      <c r="G210" s="3">
        <f>PARAMETERS!$B$16*PARAMETERS!$B$17*POWER(A210/500,PARAMETERS!$B$18)</f>
        <v>1.8501493191972235E-4</v>
      </c>
      <c r="H210" s="3">
        <f t="shared" si="17"/>
        <v>1.0341194143986581E-4</v>
      </c>
      <c r="I210" s="3">
        <f>PARAMETERS!$B$24*NAP*POWER(A210/555,PARAMETERS!$B$25)</f>
        <v>1.0200000000000001E-4</v>
      </c>
      <c r="J210" s="10">
        <f t="shared" si="18"/>
        <v>3.9042687335958813E-4</v>
      </c>
      <c r="K210" s="11">
        <f>PARAMETERS!$B$13*CALCULATIONS!J210/(CALCULATIONS!F210+CALCULATIONS!J210)</f>
        <v>3.823049296028619E-5</v>
      </c>
      <c r="L210" s="11">
        <f t="shared" si="15"/>
        <v>1.2169143862938907E-5</v>
      </c>
    </row>
    <row r="211" spans="1:12" x14ac:dyDescent="0.25">
      <c r="A211" s="1">
        <f>PARAMETERS!I212</f>
        <v>806</v>
      </c>
      <c r="B211" s="3">
        <f>PARAMETERS!J212</f>
        <v>2.1983800000000002</v>
      </c>
      <c r="C211" s="3">
        <f>CHL*PARAMETERS!M212</f>
        <v>2.5652001386540498E-5</v>
      </c>
      <c r="D211" s="3">
        <f>NAP*PARAMETERS!$B$21*EXP(-PARAMETERS!$B$22*(A211-443))</f>
        <v>4.7173969777076853E-6</v>
      </c>
      <c r="E211" s="3">
        <f>CDOM*EXP(-PARAMETERS!$B$23*(CALCULATIONS!A211-443))</f>
        <v>1.680271317658861E-6</v>
      </c>
      <c r="F211" s="10">
        <f t="shared" si="16"/>
        <v>2.198412049669682</v>
      </c>
      <c r="G211" s="3">
        <f>PARAMETERS!$B$16*PARAMETERS!$B$17*POWER(A211/500,PARAMETERS!$B$18)</f>
        <v>1.8303979901008167E-4</v>
      </c>
      <c r="H211" s="3">
        <f t="shared" si="17"/>
        <v>1.0318663278578906E-4</v>
      </c>
      <c r="I211" s="3">
        <f>PARAMETERS!$B$24*NAP*POWER(A211/555,PARAMETERS!$B$25)</f>
        <v>1.0200000000000001E-4</v>
      </c>
      <c r="J211" s="10">
        <f t="shared" si="18"/>
        <v>3.8822643179587074E-4</v>
      </c>
      <c r="K211" s="11">
        <f>PARAMETERS!$B$13*CALCULATIONS!J211/(CALCULATIONS!F211+CALCULATIONS!J211)</f>
        <v>3.8218040128900981E-5</v>
      </c>
      <c r="L211" s="11">
        <f t="shared" si="15"/>
        <v>1.2165180003598017E-5</v>
      </c>
    </row>
    <row r="212" spans="1:12" x14ac:dyDescent="0.25">
      <c r="A212" s="1">
        <f>PARAMETERS!I213</f>
        <v>808</v>
      </c>
      <c r="B212" s="3">
        <f>PARAMETERS!J213</f>
        <v>2.1929400000000001</v>
      </c>
      <c r="C212" s="3">
        <f>CHL*PARAMETERS!M213</f>
        <v>2.5652001386540498E-5</v>
      </c>
      <c r="D212" s="3">
        <f>NAP*PARAMETERS!$B$21*EXP(-PARAMETERS!$B$22*(A212-443))</f>
        <v>4.6027647690663394E-6</v>
      </c>
      <c r="E212" s="3">
        <f>CDOM*EXP(-PARAMETERS!$B$23*(CALCULATIONS!A212-443))</f>
        <v>1.6221546217440305E-6</v>
      </c>
      <c r="F212" s="10">
        <f t="shared" si="16"/>
        <v>2.1929718769207773</v>
      </c>
      <c r="G212" s="3">
        <f>PARAMETERS!$B$16*PARAMETERS!$B$17*POWER(A212/500,PARAMETERS!$B$18)</f>
        <v>1.8109056856726978E-4</v>
      </c>
      <c r="H212" s="3">
        <f t="shared" si="17"/>
        <v>1.0296252295244897E-4</v>
      </c>
      <c r="I212" s="3">
        <f>PARAMETERS!$B$24*NAP*POWER(A212/555,PARAMETERS!$B$25)</f>
        <v>1.0200000000000001E-4</v>
      </c>
      <c r="J212" s="10">
        <f t="shared" si="18"/>
        <v>3.860530915197188E-4</v>
      </c>
      <c r="K212" s="11">
        <f>PARAMETERS!$B$13*CALCULATIONS!J212/(CALCULATIONS!F212+CALCULATIONS!J212)</f>
        <v>3.8098389724596616E-5</v>
      </c>
      <c r="L212" s="11">
        <f t="shared" si="15"/>
        <v>1.2127094097022049E-5</v>
      </c>
    </row>
    <row r="213" spans="1:12" x14ac:dyDescent="0.25">
      <c r="A213" s="1">
        <f>PARAMETERS!I214</f>
        <v>810</v>
      </c>
      <c r="B213" s="3">
        <f>PARAMETERS!J214</f>
        <v>2.1875</v>
      </c>
      <c r="C213" s="3">
        <f>CHL*PARAMETERS!M214</f>
        <v>2.5652001386540498E-5</v>
      </c>
      <c r="D213" s="3">
        <f>NAP*PARAMETERS!$B$21*EXP(-PARAMETERS!$B$22*(A213-443))</f>
        <v>4.4909181100236622E-6</v>
      </c>
      <c r="E213" s="3">
        <f>CDOM*EXP(-PARAMETERS!$B$23*(CALCULATIONS!A213-443))</f>
        <v>1.5660480478306651E-6</v>
      </c>
      <c r="F213" s="10">
        <f t="shared" si="16"/>
        <v>2.1875317089675441</v>
      </c>
      <c r="G213" s="3">
        <f>PARAMETERS!$B$16*PARAMETERS!$B$17*POWER(A213/500,PARAMETERS!$B$18)</f>
        <v>1.7916683803984322E-4</v>
      </c>
      <c r="H213" s="3">
        <f t="shared" si="17"/>
        <v>1.0273960261741346E-4</v>
      </c>
      <c r="I213" s="3">
        <f>PARAMETERS!$B$24*NAP*POWER(A213/555,PARAMETERS!$B$25)</f>
        <v>1.0200000000000001E-4</v>
      </c>
      <c r="J213" s="10">
        <f t="shared" si="18"/>
        <v>3.8390644065725672E-4</v>
      </c>
      <c r="K213" s="11">
        <f>PARAMETERS!$B$13*CALCULATIONS!J213/(CALCULATIONS!F213+CALCULATIONS!J213)</f>
        <v>3.7980783970922542E-5</v>
      </c>
      <c r="L213" s="11">
        <f t="shared" si="15"/>
        <v>1.2089659022955496E-5</v>
      </c>
    </row>
    <row r="214" spans="1:12" x14ac:dyDescent="0.25">
      <c r="A214" s="1">
        <f>PARAMETERS!I215</f>
        <v>812</v>
      </c>
      <c r="B214" s="3">
        <f>PARAMETERS!J215</f>
        <v>2.2016999999999998</v>
      </c>
      <c r="C214" s="3">
        <f>CHL*PARAMETERS!M215</f>
        <v>2.5652001386540498E-5</v>
      </c>
      <c r="D214" s="3">
        <f>NAP*PARAMETERS!$B$21*EXP(-PARAMETERS!$B$22*(A214-443))</f>
        <v>4.3817893120420284E-6</v>
      </c>
      <c r="E214" s="3">
        <f>CDOM*EXP(-PARAMETERS!$B$23*(CALCULATIONS!A214-443))</f>
        <v>1.5118820704511304E-6</v>
      </c>
      <c r="F214" s="10">
        <f t="shared" si="16"/>
        <v>2.2017315456727689</v>
      </c>
      <c r="G214" s="3">
        <f>PARAMETERS!$B$16*PARAMETERS!$B$17*POWER(A214/500,PARAMETERS!$B$18)</f>
        <v>1.7726821210452799E-4</v>
      </c>
      <c r="H214" s="3">
        <f t="shared" si="17"/>
        <v>1.0251786255352385E-4</v>
      </c>
      <c r="I214" s="3">
        <f>PARAMETERS!$B$24*NAP*POWER(A214/555,PARAMETERS!$B$25)</f>
        <v>1.0200000000000001E-4</v>
      </c>
      <c r="J214" s="10">
        <f t="shared" si="18"/>
        <v>3.8178607465805183E-4</v>
      </c>
      <c r="K214" s="11">
        <f>PARAMETERS!$B$13*CALCULATIONS!J214/(CALCULATIONS!F214+CALCULATIONS!J214)</f>
        <v>3.7527489510042325E-5</v>
      </c>
      <c r="L214" s="11">
        <f t="shared" si="15"/>
        <v>1.1945370914704971E-5</v>
      </c>
    </row>
    <row r="215" spans="1:12" x14ac:dyDescent="0.25">
      <c r="A215" s="1">
        <f>PARAMETERS!I216</f>
        <v>814</v>
      </c>
      <c r="B215" s="3">
        <f>PARAMETERS!J216</f>
        <v>2.2159</v>
      </c>
      <c r="C215" s="3">
        <f>CHL*PARAMETERS!M216</f>
        <v>2.5652001386540498E-5</v>
      </c>
      <c r="D215" s="3">
        <f>NAP*PARAMETERS!$B$21*EXP(-PARAMETERS!$B$22*(A215-443))</f>
        <v>4.2753123314075765E-6</v>
      </c>
      <c r="E215" s="3">
        <f>CDOM*EXP(-PARAMETERS!$B$23*(CALCULATIONS!A215-443))</f>
        <v>1.4595895688628056E-6</v>
      </c>
      <c r="F215" s="10">
        <f t="shared" si="16"/>
        <v>2.2159313869032866</v>
      </c>
      <c r="G215" s="3">
        <f>PARAMETERS!$B$16*PARAMETERS!$B$17*POWER(A215/500,PARAMETERS!$B$18)</f>
        <v>1.7539430251906112E-4</v>
      </c>
      <c r="H215" s="3">
        <f t="shared" si="17"/>
        <v>1.0229729362768937E-4</v>
      </c>
      <c r="I215" s="3">
        <f>PARAMETERS!$B$24*NAP*POWER(A215/555,PARAMETERS!$B$25)</f>
        <v>1.0200000000000001E-4</v>
      </c>
      <c r="J215" s="10">
        <f t="shared" si="18"/>
        <v>3.7969159614675049E-4</v>
      </c>
      <c r="K215" s="11">
        <f>PARAMETERS!$B$13*CALCULATIONS!J215/(CALCULATIONS!F215+CALCULATIONS!J215)</f>
        <v>3.7082530458477398E-5</v>
      </c>
      <c r="L215" s="11">
        <f t="shared" si="15"/>
        <v>1.1803736049644891E-5</v>
      </c>
    </row>
    <row r="216" spans="1:12" x14ac:dyDescent="0.25">
      <c r="A216" s="1">
        <f>PARAMETERS!I217</f>
        <v>816</v>
      </c>
      <c r="B216" s="3">
        <f>PARAMETERS!J217</f>
        <v>2.2442799999999998</v>
      </c>
      <c r="C216" s="3">
        <f>CHL*PARAMETERS!M217</f>
        <v>2.5652001386540498E-5</v>
      </c>
      <c r="D216" s="3">
        <f>NAP*PARAMETERS!$B$21*EXP(-PARAMETERS!$B$22*(A216-443))</f>
        <v>4.1714227292611438E-6</v>
      </c>
      <c r="E216" s="3">
        <f>CDOM*EXP(-PARAMETERS!$B$23*(CALCULATIONS!A216-443))</f>
        <v>1.409105743874203E-6</v>
      </c>
      <c r="F216" s="10">
        <f t="shared" si="16"/>
        <v>2.24431123252986</v>
      </c>
      <c r="G216" s="3">
        <f>PARAMETERS!$B$16*PARAMETERS!$B$17*POWER(A216/500,PARAMETERS!$B$18)</f>
        <v>1.7354472797838146E-4</v>
      </c>
      <c r="H216" s="3">
        <f t="shared" si="17"/>
        <v>1.0207788679969995E-4</v>
      </c>
      <c r="I216" s="3">
        <f>PARAMETERS!$B$24*NAP*POWER(A216/555,PARAMETERS!$B$25)</f>
        <v>1.0200000000000001E-4</v>
      </c>
      <c r="J216" s="10">
        <f t="shared" si="18"/>
        <v>3.776226147780814E-4</v>
      </c>
      <c r="K216" s="11">
        <f>PARAMETERS!$B$13*CALCULATIONS!J216/(CALCULATIONS!F216+CALCULATIONS!J216)</f>
        <v>3.6414213937106461E-5</v>
      </c>
      <c r="L216" s="11">
        <f t="shared" si="15"/>
        <v>1.1591004293792562E-5</v>
      </c>
    </row>
    <row r="217" spans="1:12" x14ac:dyDescent="0.25">
      <c r="A217" s="1">
        <f>PARAMETERS!I218</f>
        <v>818</v>
      </c>
      <c r="B217" s="3">
        <f>PARAMETERS!J218</f>
        <v>2.2868399999999998</v>
      </c>
      <c r="C217" s="3">
        <f>CHL*PARAMETERS!M218</f>
        <v>2.5652001386540498E-5</v>
      </c>
      <c r="D217" s="3">
        <f>NAP*PARAMETERS!$B$21*EXP(-PARAMETERS!$B$22*(A217-443))</f>
        <v>4.0700576326005149E-6</v>
      </c>
      <c r="E217" s="3">
        <f>CDOM*EXP(-PARAMETERS!$B$23*(CALCULATIONS!A217-443))</f>
        <v>1.3603680375478928E-6</v>
      </c>
      <c r="F217" s="10">
        <f t="shared" si="16"/>
        <v>2.2868710824270564</v>
      </c>
      <c r="G217" s="3">
        <f>PARAMETERS!$B$16*PARAMETERS!$B$17*POWER(A217/500,PARAMETERS!$B$18)</f>
        <v>1.7171911397408348E-4</v>
      </c>
      <c r="H217" s="3">
        <f t="shared" si="17"/>
        <v>1.0185963312105693E-4</v>
      </c>
      <c r="I217" s="3">
        <f>PARAMETERS!$B$24*NAP*POWER(A217/555,PARAMETERS!$B$25)</f>
        <v>1.0200000000000001E-4</v>
      </c>
      <c r="J217" s="10">
        <f t="shared" si="18"/>
        <v>3.7557874709514042E-4</v>
      </c>
      <c r="K217" s="11">
        <f>PARAMETERS!$B$13*CALCULATIONS!J217/(CALCULATIONS!F217+CALCULATIONS!J217)</f>
        <v>3.5543247125159239E-5</v>
      </c>
      <c r="L217" s="11">
        <f t="shared" si="15"/>
        <v>1.1313766947011784E-5</v>
      </c>
    </row>
    <row r="218" spans="1:12" x14ac:dyDescent="0.25">
      <c r="A218" s="1">
        <f>PARAMETERS!I219</f>
        <v>820</v>
      </c>
      <c r="B218" s="3">
        <f>PARAMETERS!J219</f>
        <v>2.3294000000000001</v>
      </c>
      <c r="C218" s="3">
        <f>CHL*PARAMETERS!M219</f>
        <v>2.5652001386540498E-5</v>
      </c>
      <c r="D218" s="3">
        <f>NAP*PARAMETERS!$B$21*EXP(-PARAMETERS!$B$22*(A218-443))</f>
        <v>3.9711556962302418E-6</v>
      </c>
      <c r="E218" s="3">
        <f>CDOM*EXP(-PARAMETERS!$B$23*(CALCULATIONS!A218-443))</f>
        <v>1.3133160556807137E-6</v>
      </c>
      <c r="F218" s="10">
        <f t="shared" si="16"/>
        <v>2.3294309364731385</v>
      </c>
      <c r="G218" s="3">
        <f>PARAMETERS!$B$16*PARAMETERS!$B$17*POWER(A218/500,PARAMETERS!$B$18)</f>
        <v>1.6991709265705326E-4</v>
      </c>
      <c r="H218" s="3">
        <f t="shared" si="17"/>
        <v>1.0164252373382139E-4</v>
      </c>
      <c r="I218" s="3">
        <f>PARAMETERS!$B$24*NAP*POWER(A218/555,PARAMETERS!$B$25)</f>
        <v>1.0200000000000001E-4</v>
      </c>
      <c r="J218" s="10">
        <f t="shared" si="18"/>
        <v>3.7355961639087463E-4</v>
      </c>
      <c r="K218" s="11">
        <f>PARAMETERS!$B$13*CALCULATIONS!J218/(CALCULATIONS!F218+CALCULATIONS!J218)</f>
        <v>3.4706397481733484E-5</v>
      </c>
      <c r="L218" s="11">
        <f t="shared" si="15"/>
        <v>1.1047389432259985E-5</v>
      </c>
    </row>
    <row r="219" spans="1:12" x14ac:dyDescent="0.25">
      <c r="A219" s="1">
        <f>PARAMETERS!I220</f>
        <v>822</v>
      </c>
      <c r="B219" s="3">
        <f>PARAMETERS!J220</f>
        <v>2.4455999999999998</v>
      </c>
      <c r="C219" s="3">
        <f>CHL*PARAMETERS!M220</f>
        <v>2.5652001386540498E-5</v>
      </c>
      <c r="D219" s="3">
        <f>NAP*PARAMETERS!$B$21*EXP(-PARAMETERS!$B$22*(A219-443))</f>
        <v>3.8746570656361462E-6</v>
      </c>
      <c r="E219" s="3">
        <f>CDOM*EXP(-PARAMETERS!$B$23*(CALCULATIONS!A219-443))</f>
        <v>1.2678914929652068E-6</v>
      </c>
      <c r="F219" s="10">
        <f t="shared" si="16"/>
        <v>2.4456307945499449</v>
      </c>
      <c r="G219" s="3">
        <f>PARAMETERS!$B$16*PARAMETERS!$B$17*POWER(A219/500,PARAMETERS!$B$18)</f>
        <v>1.6813830270320657E-4</v>
      </c>
      <c r="H219" s="3">
        <f t="shared" si="17"/>
        <v>1.014265498694795E-4</v>
      </c>
      <c r="I219" s="3">
        <f>PARAMETERS!$B$24*NAP*POWER(A219/555,PARAMETERS!$B$25)</f>
        <v>1.0200000000000001E-4</v>
      </c>
      <c r="J219" s="10">
        <f t="shared" si="18"/>
        <v>3.7156485257268607E-4</v>
      </c>
      <c r="K219" s="11">
        <f>PARAMETERS!$B$13*CALCULATIONS!J219/(CALCULATIONS!F219+CALCULATIONS!J219)</f>
        <v>3.288113869586401E-5</v>
      </c>
      <c r="L219" s="11">
        <f t="shared" si="15"/>
        <v>1.0466391515873909E-5</v>
      </c>
    </row>
    <row r="220" spans="1:12" x14ac:dyDescent="0.25">
      <c r="A220" s="1">
        <f>PARAMETERS!I221</f>
        <v>824</v>
      </c>
      <c r="B220" s="3">
        <f>PARAMETERS!J221</f>
        <v>2.5617999999999999</v>
      </c>
      <c r="C220" s="3">
        <f>CHL*PARAMETERS!M221</f>
        <v>2.5652001386540498E-5</v>
      </c>
      <c r="D220" s="3">
        <f>NAP*PARAMETERS!$B$21*EXP(-PARAMETERS!$B$22*(A220-443))</f>
        <v>3.7805033407619039E-6</v>
      </c>
      <c r="E220" s="3">
        <f>CDOM*EXP(-PARAMETERS!$B$23*(CALCULATIONS!A220-443))</f>
        <v>1.2240380607395551E-6</v>
      </c>
      <c r="F220" s="10">
        <f t="shared" si="16"/>
        <v>2.5618306565427877</v>
      </c>
      <c r="G220" s="3">
        <f>PARAMETERS!$B$16*PARAMETERS!$B$17*POWER(A220/500,PARAMETERS!$B$18)</f>
        <v>1.663823891822522E-4</v>
      </c>
      <c r="H220" s="3">
        <f t="shared" si="17"/>
        <v>1.0121170284782493E-4</v>
      </c>
      <c r="I220" s="3">
        <f>PARAMETERS!$B$24*NAP*POWER(A220/555,PARAMETERS!$B$25)</f>
        <v>1.0200000000000001E-4</v>
      </c>
      <c r="J220" s="10">
        <f t="shared" si="18"/>
        <v>3.6959409203007713E-4</v>
      </c>
      <c r="K220" s="11">
        <f>PARAMETERS!$B$13*CALCULATIONS!J220/(CALCULATIONS!F220+CALCULATIONS!J220)</f>
        <v>3.1223461316360948E-5</v>
      </c>
      <c r="L220" s="11">
        <f t="shared" si="15"/>
        <v>9.9387364178748449E-6</v>
      </c>
    </row>
    <row r="221" spans="1:12" x14ac:dyDescent="0.25">
      <c r="A221" s="1">
        <f>PARAMETERS!I222</f>
        <v>826</v>
      </c>
      <c r="B221" s="3">
        <f>PARAMETERS!J222</f>
        <v>2.7174200000000002</v>
      </c>
      <c r="C221" s="3">
        <f>CHL*PARAMETERS!M222</f>
        <v>2.5652001386540498E-5</v>
      </c>
      <c r="D221" s="3">
        <f>NAP*PARAMETERS!$B$21*EXP(-PARAMETERS!$B$22*(A221-443))</f>
        <v>3.6886375406659169E-6</v>
      </c>
      <c r="E221" s="3">
        <f>CDOM*EXP(-PARAMETERS!$B$23*(CALCULATIONS!A221-443))</f>
        <v>1.1817014172364715E-6</v>
      </c>
      <c r="F221" s="10">
        <f t="shared" si="16"/>
        <v>2.7174505223403447</v>
      </c>
      <c r="G221" s="3">
        <f>PARAMETERS!$B$16*PARAMETERS!$B$17*POWER(A221/500,PARAMETERS!$B$18)</f>
        <v>1.6464900342940482E-4</v>
      </c>
      <c r="H221" s="3">
        <f t="shared" si="17"/>
        <v>1.0099797407585793E-4</v>
      </c>
      <c r="I221" s="3">
        <f>PARAMETERS!$B$24*NAP*POWER(A221/555,PARAMETERS!$B$25)</f>
        <v>1.0200000000000001E-4</v>
      </c>
      <c r="J221" s="10">
        <f t="shared" si="18"/>
        <v>3.6764697750526272E-4</v>
      </c>
      <c r="K221" s="11">
        <f>PARAMETERS!$B$13*CALCULATIONS!J221/(CALCULATIONS!F221+CALCULATIONS!J221)</f>
        <v>2.9280581462561938E-5</v>
      </c>
      <c r="L221" s="11">
        <f t="shared" si="15"/>
        <v>9.3202985527433021E-6</v>
      </c>
    </row>
    <row r="222" spans="1:12" x14ac:dyDescent="0.25">
      <c r="A222" s="1">
        <f>PARAMETERS!I223</f>
        <v>828</v>
      </c>
      <c r="B222" s="3">
        <f>PARAMETERS!J223</f>
        <v>2.9124599999999998</v>
      </c>
      <c r="C222" s="3">
        <f>CHL*PARAMETERS!M223</f>
        <v>2.5652001386540498E-5</v>
      </c>
      <c r="D222" s="3">
        <f>NAP*PARAMETERS!$B$21*EXP(-PARAMETERS!$B$22*(A222-443))</f>
        <v>3.5990040690369548E-6</v>
      </c>
      <c r="E222" s="3">
        <f>CDOM*EXP(-PARAMETERS!$B$23*(CALCULATIONS!A222-443))</f>
        <v>1.1408291002446266E-6</v>
      </c>
      <c r="F222" s="10">
        <f t="shared" si="16"/>
        <v>2.9124903918345555</v>
      </c>
      <c r="G222" s="3">
        <f>PARAMETERS!$B$16*PARAMETERS!$B$17*POWER(A222/500,PARAMETERS!$B$18)</f>
        <v>1.6293780291997401E-4</v>
      </c>
      <c r="H222" s="3">
        <f t="shared" si="17"/>
        <v>1.0078535504670062E-4</v>
      </c>
      <c r="I222" s="3">
        <f>PARAMETERS!$B$24*NAP*POWER(A222/555,PARAMETERS!$B$25)</f>
        <v>1.0200000000000001E-4</v>
      </c>
      <c r="J222" s="10">
        <f t="shared" si="18"/>
        <v>3.6572315796667466E-4</v>
      </c>
      <c r="K222" s="11">
        <f>PARAMETERS!$B$13*CALCULATIONS!J222/(CALCULATIONS!F222+CALCULATIONS!J222)</f>
        <v>2.7177063133912951E-5</v>
      </c>
      <c r="L222" s="11">
        <f t="shared" si="15"/>
        <v>8.6507278729655256E-6</v>
      </c>
    </row>
    <row r="223" spans="1:12" x14ac:dyDescent="0.25">
      <c r="A223" s="1">
        <f>PARAMETERS!I224</f>
        <v>830</v>
      </c>
      <c r="B223" s="3">
        <f>PARAMETERS!J224</f>
        <v>3.1074999999999999</v>
      </c>
      <c r="C223" s="3">
        <f>CHL*PARAMETERS!M224</f>
        <v>2.5652001386540498E-5</v>
      </c>
      <c r="D223" s="3">
        <f>NAP*PARAMETERS!$B$21*EXP(-PARAMETERS!$B$22*(A223-443))</f>
        <v>3.5115486805478196E-6</v>
      </c>
      <c r="E223" s="3">
        <f>CDOM*EXP(-PARAMETERS!$B$23*(CALCULATIONS!A223-443))</f>
        <v>1.1013704620991604E-6</v>
      </c>
      <c r="F223" s="10">
        <f t="shared" si="16"/>
        <v>3.1075302649205292</v>
      </c>
      <c r="G223" s="3">
        <f>PARAMETERS!$B$16*PARAMETERS!$B$17*POWER(A223/500,PARAMETERS!$B$18)</f>
        <v>1.612484511467591E-4</v>
      </c>
      <c r="H223" s="3">
        <f t="shared" si="17"/>
        <v>1.0057383733852853E-4</v>
      </c>
      <c r="I223" s="3">
        <f>PARAMETERS!$B$24*NAP*POWER(A223/555,PARAMETERS!$B$25)</f>
        <v>1.0200000000000001E-4</v>
      </c>
      <c r="J223" s="10">
        <f t="shared" si="18"/>
        <v>3.6382228848528761E-4</v>
      </c>
      <c r="K223" s="11">
        <f>PARAMETERS!$B$13*CALCULATIONS!J223/(CALCULATIONS!F223+CALCULATIONS!J223)</f>
        <v>2.5339158358953049E-5</v>
      </c>
      <c r="L223" s="11">
        <f t="shared" si="15"/>
        <v>8.0657046132313935E-6</v>
      </c>
    </row>
    <row r="224" spans="1:12" x14ac:dyDescent="0.25">
      <c r="A224" s="1">
        <f>PARAMETERS!I225</f>
        <v>832</v>
      </c>
      <c r="B224" s="3">
        <f>PARAMETERS!J225</f>
        <v>3.3453799999999996</v>
      </c>
      <c r="C224" s="3">
        <f>CHL*PARAMETERS!M225</f>
        <v>2.5652001386540498E-5</v>
      </c>
      <c r="D224" s="3">
        <f>NAP*PARAMETERS!$B$21*EXP(-PARAMETERS!$B$22*(A224-443))</f>
        <v>3.4262184480265802E-6</v>
      </c>
      <c r="E224" s="3">
        <f>CDOM*EXP(-PARAMETERS!$B$23*(CALCULATIONS!A224-443))</f>
        <v>1.0632766069207143E-6</v>
      </c>
      <c r="F224" s="10">
        <f t="shared" si="16"/>
        <v>3.345410141496441</v>
      </c>
      <c r="G224" s="3">
        <f>PARAMETERS!$B$16*PARAMETERS!$B$17*POWER(A224/500,PARAMETERS!$B$18)</f>
        <v>1.5958061750017912E-4</v>
      </c>
      <c r="H224" s="3">
        <f t="shared" si="17"/>
        <v>1.0036341261351783E-4</v>
      </c>
      <c r="I224" s="3">
        <f>PARAMETERS!$B$24*NAP*POWER(A224/555,PARAMETERS!$B$25)</f>
        <v>1.0200000000000001E-4</v>
      </c>
      <c r="J224" s="10">
        <f t="shared" si="18"/>
        <v>3.6194403011369691E-4</v>
      </c>
      <c r="K224" s="11">
        <f>PARAMETERS!$B$13*CALCULATIONS!J224/(CALCULATIONS!F224+CALCULATIONS!J224)</f>
        <v>2.3416078155294855E-5</v>
      </c>
      <c r="L224" s="11">
        <f t="shared" si="15"/>
        <v>7.4535691724826526E-6</v>
      </c>
    </row>
    <row r="225" spans="1:12" x14ac:dyDescent="0.25">
      <c r="A225" s="1">
        <f>PARAMETERS!I226</f>
        <v>834</v>
      </c>
      <c r="B225" s="3">
        <f>PARAMETERS!J226</f>
        <v>3.5832599999999997</v>
      </c>
      <c r="C225" s="3">
        <f>CHL*PARAMETERS!M226</f>
        <v>2.5652001386540498E-5</v>
      </c>
      <c r="D225" s="3">
        <f>NAP*PARAMETERS!$B$21*EXP(-PARAMETERS!$B$22*(A225-443))</f>
        <v>3.3429617304255395E-6</v>
      </c>
      <c r="E225" s="3">
        <f>CDOM*EXP(-PARAMETERS!$B$23*(CALCULATIONS!A225-443))</f>
        <v>1.0265003300252284E-6</v>
      </c>
      <c r="F225" s="10">
        <f t="shared" si="16"/>
        <v>3.5832900214634469</v>
      </c>
      <c r="G225" s="3">
        <f>PARAMETERS!$B$16*PARAMETERS!$B$17*POWER(A225/500,PARAMETERS!$B$18)</f>
        <v>1.5793397715107188E-4</v>
      </c>
      <c r="H225" s="3">
        <f t="shared" si="17"/>
        <v>1.0015407261680802E-4</v>
      </c>
      <c r="I225" s="3">
        <f>PARAMETERS!$B$24*NAP*POWER(A225/555,PARAMETERS!$B$25)</f>
        <v>1.0200000000000001E-4</v>
      </c>
      <c r="J225" s="10">
        <f t="shared" si="18"/>
        <v>3.6008804976787987E-4</v>
      </c>
      <c r="K225" s="11">
        <f>PARAMETERS!$B$13*CALCULATIONS!J225/(CALCULATIONS!F225+CALCULATIONS!J225)</f>
        <v>2.1749646498650185E-5</v>
      </c>
      <c r="L225" s="11">
        <f t="shared" si="15"/>
        <v>6.9231275015230221E-6</v>
      </c>
    </row>
    <row r="226" spans="1:12" x14ac:dyDescent="0.25">
      <c r="A226" s="1">
        <f>PARAMETERS!I227</f>
        <v>836</v>
      </c>
      <c r="B226" s="3">
        <f>PARAMETERS!J227</f>
        <v>3.7516400000000001</v>
      </c>
      <c r="C226" s="3">
        <f>CHL*PARAMETERS!M227</f>
        <v>2.5652001386540498E-5</v>
      </c>
      <c r="D226" s="3">
        <f>NAP*PARAMETERS!$B$21*EXP(-PARAMETERS!$B$22*(A226-443))</f>
        <v>3.2617281415685818E-6</v>
      </c>
      <c r="E226" s="3">
        <f>CDOM*EXP(-PARAMETERS!$B$23*(CALCULATIONS!A226-443))</f>
        <v>9.9099605942941173E-7</v>
      </c>
      <c r="F226" s="10">
        <f t="shared" si="16"/>
        <v>3.7516699047255875</v>
      </c>
      <c r="G226" s="3">
        <f>PARAMETERS!$B$16*PARAMETERS!$B$17*POWER(A226/500,PARAMETERS!$B$18)</f>
        <v>1.5630821093609522E-4</v>
      </c>
      <c r="H226" s="3">
        <f t="shared" si="17"/>
        <v>9.9945809175480086E-5</v>
      </c>
      <c r="I226" s="3">
        <f>PARAMETERS!$B$24*NAP*POWER(A226/555,PARAMETERS!$B$25)</f>
        <v>1.0200000000000001E-4</v>
      </c>
      <c r="J226" s="10">
        <f t="shared" si="18"/>
        <v>3.5825402011157529E-4</v>
      </c>
      <c r="K226" s="11">
        <f>PARAMETERS!$B$13*CALCULATIONS!J226/(CALCULATIONS!F226+CALCULATIONS!J226)</f>
        <v>2.0667791802383324E-5</v>
      </c>
      <c r="L226" s="11">
        <f t="shared" si="15"/>
        <v>6.5787624562869178E-6</v>
      </c>
    </row>
    <row r="227" spans="1:12" x14ac:dyDescent="0.25">
      <c r="A227" s="1">
        <f>PARAMETERS!I228</f>
        <v>838</v>
      </c>
      <c r="B227" s="3">
        <f>PARAMETERS!J228</f>
        <v>3.8505199999999999</v>
      </c>
      <c r="C227" s="3">
        <f>CHL*PARAMETERS!M228</f>
        <v>2.5652001386540498E-5</v>
      </c>
      <c r="D227" s="3">
        <f>NAP*PARAMETERS!$B$21*EXP(-PARAMETERS!$B$22*(A227-443))</f>
        <v>3.1824685196579141E-6</v>
      </c>
      <c r="E227" s="3">
        <f>CDOM*EXP(-PARAMETERS!$B$23*(CALCULATIONS!A227-443))</f>
        <v>9.567197993793973E-7</v>
      </c>
      <c r="F227" s="10">
        <f t="shared" si="16"/>
        <v>3.8505497911897058</v>
      </c>
      <c r="G227" s="3">
        <f>PARAMETERS!$B$16*PARAMETERS!$B$17*POWER(A227/500,PARAMETERS!$B$18)</f>
        <v>1.5470300524566812E-4</v>
      </c>
      <c r="H227" s="3">
        <f t="shared" si="17"/>
        <v>9.9738614197549387E-5</v>
      </c>
      <c r="I227" s="3">
        <f>PARAMETERS!$B$24*NAP*POWER(A227/555,PARAMETERS!$B$25)</f>
        <v>1.0200000000000001E-4</v>
      </c>
      <c r="J227" s="10">
        <f t="shared" si="18"/>
        <v>3.5644161944321752E-4</v>
      </c>
      <c r="K227" s="11">
        <f>PARAMETERS!$B$13*CALCULATIONS!J227/(CALCULATIONS!F227+CALCULATIONS!J227)</f>
        <v>2.0035240444866969E-5</v>
      </c>
      <c r="L227" s="11">
        <f t="shared" si="15"/>
        <v>6.3774151056704852E-6</v>
      </c>
    </row>
    <row r="228" spans="1:12" x14ac:dyDescent="0.25">
      <c r="A228" s="1">
        <f>PARAMETERS!I229</f>
        <v>840</v>
      </c>
      <c r="B228" s="3">
        <f>PARAMETERS!J229</f>
        <v>3.9493999999999998</v>
      </c>
      <c r="C228" s="3">
        <f>CHL*PARAMETERS!M229</f>
        <v>2.5652001386540498E-5</v>
      </c>
      <c r="D228" s="3">
        <f>NAP*PARAMETERS!$B$21*EXP(-PARAMETERS!$B$22*(A228-443))</f>
        <v>3.105134897521835E-6</v>
      </c>
      <c r="E228" s="3">
        <f>CDOM*EXP(-PARAMETERS!$B$23*(CALCULATIONS!A228-443))</f>
        <v>9.2362907583261915E-7</v>
      </c>
      <c r="F228" s="10">
        <f t="shared" si="16"/>
        <v>3.9494296807653599</v>
      </c>
      <c r="G228" s="3">
        <f>PARAMETERS!$B$16*PARAMETERS!$B$17*POWER(A228/500,PARAMETERS!$B$18)</f>
        <v>1.5311805191438731E-4</v>
      </c>
      <c r="H228" s="3">
        <f t="shared" si="17"/>
        <v>9.9532479670973577E-5</v>
      </c>
      <c r="I228" s="3">
        <f>PARAMETERS!$B$24*NAP*POWER(A228/555,PARAMETERS!$B$25)</f>
        <v>1.0200000000000001E-4</v>
      </c>
      <c r="J228" s="10">
        <f t="shared" si="18"/>
        <v>3.5465053158536088E-4</v>
      </c>
      <c r="K228" s="11">
        <f>PARAMETERS!$B$13*CALCULATIONS!J228/(CALCULATIONS!F228+CALCULATIONS!J228)</f>
        <v>1.943552726665732E-5</v>
      </c>
      <c r="L228" s="11">
        <f t="shared" si="15"/>
        <v>6.1865204721716518E-6</v>
      </c>
    </row>
    <row r="229" spans="1:12" x14ac:dyDescent="0.25">
      <c r="A229" s="1">
        <f>PARAMETERS!I230</f>
        <v>842</v>
      </c>
      <c r="B229" s="3">
        <f>PARAMETERS!J230</f>
        <v>3.9995599999999998</v>
      </c>
      <c r="C229" s="3">
        <f>CHL*PARAMETERS!M230</f>
        <v>2.5652001386540498E-5</v>
      </c>
      <c r="D229" s="3">
        <f>NAP*PARAMETERS!$B$21*EXP(-PARAMETERS!$B$22*(A229-443))</f>
        <v>3.0296804735854351E-6</v>
      </c>
      <c r="E229" s="3">
        <f>CDOM*EXP(-PARAMETERS!$B$23*(CALCULATIONS!A229-443))</f>
        <v>8.9168288382533612E-7</v>
      </c>
      <c r="F229" s="10">
        <f t="shared" si="16"/>
        <v>3.999589573364744</v>
      </c>
      <c r="G229" s="3">
        <f>PARAMETERS!$B$16*PARAMETERS!$B$17*POWER(A229/500,PARAMETERS!$B$18)</f>
        <v>1.5155304811386146E-4</v>
      </c>
      <c r="H229" s="3">
        <f t="shared" si="17"/>
        <v>9.9327397662674728E-5</v>
      </c>
      <c r="I229" s="3">
        <f>PARAMETERS!$B$24*NAP*POWER(A229/555,PARAMETERS!$B$25)</f>
        <v>1.0200000000000001E-4</v>
      </c>
      <c r="J229" s="10">
        <f t="shared" si="18"/>
        <v>3.528804457765362E-4</v>
      </c>
      <c r="K229" s="11">
        <f>PARAMETERS!$B$13*CALCULATIONS!J229/(CALCULATIONS!F229+CALCULATIONS!J229)</f>
        <v>1.9096023687259919E-5</v>
      </c>
      <c r="L229" s="11">
        <f t="shared" si="15"/>
        <v>6.0784531264546753E-6</v>
      </c>
    </row>
    <row r="230" spans="1:12" x14ac:dyDescent="0.25">
      <c r="A230" s="1">
        <f>PARAMETERS!I231</f>
        <v>844</v>
      </c>
      <c r="B230" s="3">
        <f>PARAMETERS!J231</f>
        <v>4.0497199999999998</v>
      </c>
      <c r="C230" s="3">
        <f>CHL*PARAMETERS!M231</f>
        <v>2.5652001386540498E-5</v>
      </c>
      <c r="D230" s="3">
        <f>NAP*PARAMETERS!$B$21*EXP(-PARAMETERS!$B$22*(A230-443))</f>
        <v>2.9560595835467496E-6</v>
      </c>
      <c r="E230" s="3">
        <f>CDOM*EXP(-PARAMETERS!$B$23*(CALCULATIONS!A230-443))</f>
        <v>8.6084163666059785E-7</v>
      </c>
      <c r="F230" s="10">
        <f t="shared" si="16"/>
        <v>4.0497494689026068</v>
      </c>
      <c r="G230" s="3">
        <f>PARAMETERS!$B$16*PARAMETERS!$B$17*POWER(A230/500,PARAMETERS!$B$18)</f>
        <v>1.5000769624790266E-4</v>
      </c>
      <c r="H230" s="3">
        <f t="shared" si="17"/>
        <v>9.9123360317575858E-5</v>
      </c>
      <c r="I230" s="3">
        <f>PARAMETERS!$B$24*NAP*POWER(A230/555,PARAMETERS!$B$25)</f>
        <v>1.0200000000000001E-4</v>
      </c>
      <c r="J230" s="10">
        <f t="shared" si="18"/>
        <v>3.5113105656547851E-4</v>
      </c>
      <c r="K230" s="11">
        <f>PARAMETERS!$B$13*CALCULATIONS!J230/(CALCULATIONS!F230+CALCULATIONS!J230)</f>
        <v>1.876603522415482E-5</v>
      </c>
      <c r="L230" s="11">
        <f t="shared" si="15"/>
        <v>5.9734145363217273E-6</v>
      </c>
    </row>
    <row r="231" spans="1:12" x14ac:dyDescent="0.25">
      <c r="A231" s="1">
        <f>PARAMETERS!I232</f>
        <v>846</v>
      </c>
      <c r="B231" s="3">
        <f>PARAMETERS!J232</f>
        <v>4.0995600000000003</v>
      </c>
      <c r="C231" s="3">
        <f>CHL*PARAMETERS!M232</f>
        <v>2.5652001386540498E-5</v>
      </c>
      <c r="D231" s="3">
        <f>NAP*PARAMETERS!$B$21*EXP(-PARAMETERS!$B$22*(A231-443))</f>
        <v>2.8842276727411334E-6</v>
      </c>
      <c r="E231" s="3">
        <f>CDOM*EXP(-PARAMETERS!$B$23*(CALCULATIONS!A231-443))</f>
        <v>8.3106711685368037E-7</v>
      </c>
      <c r="F231" s="10">
        <f t="shared" si="16"/>
        <v>4.0995893672961756</v>
      </c>
      <c r="G231" s="3">
        <f>PARAMETERS!$B$16*PARAMETERS!$B$17*POWER(A231/500,PARAMETERS!$B$18)</f>
        <v>1.4848170385001685E-4</v>
      </c>
      <c r="H231" s="3">
        <f t="shared" si="17"/>
        <v>9.8920359857651525E-5</v>
      </c>
      <c r="I231" s="3">
        <f>PARAMETERS!$B$24*NAP*POWER(A231/555,PARAMETERS!$B$25)</f>
        <v>1.0200000000000001E-4</v>
      </c>
      <c r="J231" s="10">
        <f t="shared" si="18"/>
        <v>3.4940206370766833E-4</v>
      </c>
      <c r="K231" s="11">
        <f>PARAMETERS!$B$13*CALCULATIONS!J231/(CALCULATIONS!F231+CALCULATIONS!J231)</f>
        <v>1.8446636488228394E-5</v>
      </c>
      <c r="L231" s="11">
        <f t="shared" si="15"/>
        <v>5.8717467610417407E-6</v>
      </c>
    </row>
    <row r="232" spans="1:12" x14ac:dyDescent="0.25">
      <c r="A232" s="1">
        <f>PARAMETERS!I233</f>
        <v>848</v>
      </c>
      <c r="B232" s="3">
        <f>PARAMETERS!J233</f>
        <v>4.1490799999999997</v>
      </c>
      <c r="C232" s="3">
        <f>CHL*PARAMETERS!M233</f>
        <v>2.5652001386540498E-5</v>
      </c>
      <c r="D232" s="3">
        <f>NAP*PARAMETERS!$B$21*EXP(-PARAMETERS!$B$22*(A232-443))</f>
        <v>2.81414126917722E-6</v>
      </c>
      <c r="E232" s="3">
        <f>CDOM*EXP(-PARAMETERS!$B$23*(CALCULATIONS!A232-443))</f>
        <v>8.0232242877420068E-7</v>
      </c>
      <c r="F232" s="10">
        <f t="shared" si="16"/>
        <v>4.1491092684650841</v>
      </c>
      <c r="G232" s="3">
        <f>PARAMETERS!$B$16*PARAMETERS!$B$17*POWER(A232/500,PARAMETERS!$B$18)</f>
        <v>1.4697478348314091E-4</v>
      </c>
      <c r="H232" s="3">
        <f t="shared" si="17"/>
        <v>9.8718388580992008E-5</v>
      </c>
      <c r="I232" s="3">
        <f>PARAMETERS!$B$24*NAP*POWER(A232/555,PARAMETERS!$B$25)</f>
        <v>1.0200000000000001E-4</v>
      </c>
      <c r="J232" s="10">
        <f t="shared" si="18"/>
        <v>3.4769317206413295E-4</v>
      </c>
      <c r="K232" s="11">
        <f>PARAMETERS!$B$13*CALCULATIONS!J232/(CALCULATIONS!F232+CALCULATIONS!J232)</f>
        <v>1.8137356623634262E-5</v>
      </c>
      <c r="L232" s="11">
        <f t="shared" si="15"/>
        <v>5.7732999225438441E-6</v>
      </c>
    </row>
    <row r="233" spans="1:12" x14ac:dyDescent="0.25">
      <c r="A233" s="1">
        <f>PARAMETERS!I234</f>
        <v>850</v>
      </c>
      <c r="B233" s="3">
        <f>PARAMETERS!J234</f>
        <v>4.1985999999999999</v>
      </c>
      <c r="C233" s="3">
        <f>CHL*PARAMETERS!M234</f>
        <v>2.5652001386540498E-5</v>
      </c>
      <c r="D233" s="3">
        <f>NAP*PARAMETERS!$B$21*EXP(-PARAMETERS!$B$22*(A233-443))</f>
        <v>2.7457579572280762E-6</v>
      </c>
      <c r="E233" s="3">
        <f>CDOM*EXP(-PARAMETERS!$B$23*(CALCULATIONS!A233-443))</f>
        <v>7.7457195292623621E-7</v>
      </c>
      <c r="F233" s="10">
        <f t="shared" si="16"/>
        <v>4.1986291723312963</v>
      </c>
      <c r="G233" s="3">
        <f>PARAMETERS!$B$16*PARAMETERS!$B$17*POWER(A233/500,PARAMETERS!$B$18)</f>
        <v>1.4548665264156734E-4</v>
      </c>
      <c r="H233" s="3">
        <f t="shared" si="17"/>
        <v>9.8517438860881248E-5</v>
      </c>
      <c r="I233" s="3">
        <f>PARAMETERS!$B$24*NAP*POWER(A233/555,PARAMETERS!$B$25)</f>
        <v>1.0200000000000001E-4</v>
      </c>
      <c r="J233" s="10">
        <f t="shared" si="18"/>
        <v>3.4600409150244865E-4</v>
      </c>
      <c r="K233" s="11">
        <f>PARAMETERS!$B$13*CALCULATIONS!J233/(CALCULATIONS!F233+CALCULATIONS!J233)</f>
        <v>1.7836392545420543E-5</v>
      </c>
      <c r="L233" s="11">
        <f t="shared" si="15"/>
        <v>5.6775000810622256E-6</v>
      </c>
    </row>
    <row r="234" spans="1:12" x14ac:dyDescent="0.25">
      <c r="A234" s="1">
        <f>PARAMETERS!I235</f>
        <v>852</v>
      </c>
      <c r="B234" s="3">
        <f>PARAMETERS!J235</f>
        <v>4.2417199999999999</v>
      </c>
      <c r="C234" s="3">
        <f>CHL*PARAMETERS!M235</f>
        <v>2.5652001386540498E-5</v>
      </c>
      <c r="D234" s="3">
        <f>NAP*PARAMETERS!$B$21*EXP(-PARAMETERS!$B$22*(A234-443))</f>
        <v>2.679036351961658E-6</v>
      </c>
      <c r="E234" s="3">
        <f>CDOM*EXP(-PARAMETERS!$B$23*(CALCULATIONS!A234-443))</f>
        <v>7.4778130180978975E-7</v>
      </c>
      <c r="F234" s="10">
        <f t="shared" si="16"/>
        <v>4.2417490788190397</v>
      </c>
      <c r="G234" s="3">
        <f>PARAMETERS!$B$16*PARAMETERS!$B$17*POWER(A234/500,PARAMETERS!$B$18)</f>
        <v>1.4401703365500877E-4</v>
      </c>
      <c r="H234" s="3">
        <f t="shared" si="17"/>
        <v>9.8317503144887801E-5</v>
      </c>
      <c r="I234" s="3">
        <f>PARAMETERS!$B$24*NAP*POWER(A234/555,PARAMETERS!$B$25)</f>
        <v>1.0200000000000001E-4</v>
      </c>
      <c r="J234" s="10">
        <f t="shared" si="18"/>
        <v>3.4433453679989659E-4</v>
      </c>
      <c r="K234" s="11">
        <f>PARAMETERS!$B$13*CALCULATIONS!J234/(CALCULATIONS!F234+CALCULATIONS!J234)</f>
        <v>1.7569906549482981E-5</v>
      </c>
      <c r="L234" s="11">
        <f t="shared" si="15"/>
        <v>5.5926749540257661E-6</v>
      </c>
    </row>
    <row r="235" spans="1:12" x14ac:dyDescent="0.25">
      <c r="A235" s="1">
        <f>PARAMETERS!I236</f>
        <v>854</v>
      </c>
      <c r="B235" s="3">
        <f>PARAMETERS!J236</f>
        <v>4.28484</v>
      </c>
      <c r="C235" s="3">
        <f>CHL*PARAMETERS!M236</f>
        <v>2.5652001386540498E-5</v>
      </c>
      <c r="D235" s="3">
        <f>NAP*PARAMETERS!$B$21*EXP(-PARAMETERS!$B$22*(A235-443))</f>
        <v>2.6139360740950628E-6</v>
      </c>
      <c r="E235" s="3">
        <f>CDOM*EXP(-PARAMETERS!$B$23*(CALCULATIONS!A235-443))</f>
        <v>7.2191727730889716E-7</v>
      </c>
      <c r="F235" s="10">
        <f t="shared" si="16"/>
        <v>4.284868987854737</v>
      </c>
      <c r="G235" s="3">
        <f>PARAMETERS!$B$16*PARAMETERS!$B$17*POWER(A235/500,PARAMETERS!$B$18)</f>
        <v>1.4256565359474613E-4</v>
      </c>
      <c r="H235" s="3">
        <f t="shared" si="17"/>
        <v>9.8118573953969243E-5</v>
      </c>
      <c r="I235" s="3">
        <f>PARAMETERS!$B$24*NAP*POWER(A235/555,PARAMETERS!$B$25)</f>
        <v>1.0200000000000001E-4</v>
      </c>
      <c r="J235" s="10">
        <f t="shared" si="18"/>
        <v>3.4268422754871539E-4</v>
      </c>
      <c r="K235" s="11">
        <f>PARAMETERS!$B$13*CALCULATIONS!J235/(CALCULATIONS!F235+CALCULATIONS!J235)</f>
        <v>1.7309755415368035E-5</v>
      </c>
      <c r="L235" s="11">
        <f t="shared" si="15"/>
        <v>5.5098662761350539E-6</v>
      </c>
    </row>
    <row r="236" spans="1:12" x14ac:dyDescent="0.25">
      <c r="A236" s="1">
        <f>PARAMETERS!I237</f>
        <v>856</v>
      </c>
      <c r="B236" s="3">
        <f>PARAMETERS!J237</f>
        <v>4.3316400000000002</v>
      </c>
      <c r="C236" s="3">
        <f>CHL*PARAMETERS!M237</f>
        <v>2.5652001386540498E-5</v>
      </c>
      <c r="D236" s="3">
        <f>NAP*PARAMETERS!$B$21*EXP(-PARAMETERS!$B$22*(A236-443))</f>
        <v>2.5504177255573468E-6</v>
      </c>
      <c r="E236" s="3">
        <f>CDOM*EXP(-PARAMETERS!$B$23*(CALCULATIONS!A236-443))</f>
        <v>6.9694782955358973E-7</v>
      </c>
      <c r="F236" s="10">
        <f t="shared" si="16"/>
        <v>4.3316688993669414</v>
      </c>
      <c r="G236" s="3">
        <f>PARAMETERS!$B$16*PARAMETERS!$B$17*POWER(A236/500,PARAMETERS!$B$18)</f>
        <v>1.4113224418181409E-4</v>
      </c>
      <c r="H236" s="3">
        <f t="shared" si="17"/>
        <v>9.7920643881589117E-5</v>
      </c>
      <c r="I236" s="3">
        <f>PARAMETERS!$B$24*NAP*POWER(A236/555,PARAMETERS!$B$25)</f>
        <v>1.0200000000000001E-4</v>
      </c>
      <c r="J236" s="10">
        <f t="shared" si="18"/>
        <v>3.410528880634032E-4</v>
      </c>
      <c r="K236" s="11">
        <f>PARAMETERS!$B$13*CALCULATIONS!J236/(CALCULATIONS!F236+CALCULATIONS!J236)</f>
        <v>1.7041247359778953E-5</v>
      </c>
      <c r="L236" s="11">
        <f t="shared" si="15"/>
        <v>5.4243975075210621E-6</v>
      </c>
    </row>
    <row r="237" spans="1:12" x14ac:dyDescent="0.25">
      <c r="A237" s="1">
        <f>PARAMETERS!I238</f>
        <v>858</v>
      </c>
      <c r="B237" s="3">
        <f>PARAMETERS!J238</f>
        <v>4.3821200000000005</v>
      </c>
      <c r="C237" s="3">
        <f>CHL*PARAMETERS!M238</f>
        <v>2.5652001386540498E-5</v>
      </c>
      <c r="D237" s="3">
        <f>NAP*PARAMETERS!$B$21*EXP(-PARAMETERS!$B$22*(A237-443))</f>
        <v>2.4884428656462071E-6</v>
      </c>
      <c r="E237" s="3">
        <f>CDOM*EXP(-PARAMETERS!$B$23*(CALCULATIONS!A237-443))</f>
        <v>6.728420172047233E-7</v>
      </c>
      <c r="F237" s="10">
        <f t="shared" si="16"/>
        <v>4.3821488132862694</v>
      </c>
      <c r="G237" s="3">
        <f>PARAMETERS!$B$16*PARAMETERS!$B$17*POWER(A237/500,PARAMETERS!$B$18)</f>
        <v>1.3971654169717254E-4</v>
      </c>
      <c r="H237" s="3">
        <f t="shared" si="17"/>
        <v>9.772370559284675E-5</v>
      </c>
      <c r="I237" s="3">
        <f>PARAMETERS!$B$24*NAP*POWER(A237/555,PARAMETERS!$B$25)</f>
        <v>1.0200000000000001E-4</v>
      </c>
      <c r="J237" s="10">
        <f t="shared" si="18"/>
        <v>3.3944024729001929E-4</v>
      </c>
      <c r="K237" s="11">
        <f>PARAMETERS!$B$13*CALCULATIONS!J237/(CALCULATIONS!F237+CALCULATIONS!J237)</f>
        <v>1.6765313120953549E-5</v>
      </c>
      <c r="L237" s="11">
        <f t="shared" si="15"/>
        <v>5.3365649113663368E-6</v>
      </c>
    </row>
    <row r="238" spans="1:12" x14ac:dyDescent="0.25">
      <c r="A238" s="1">
        <f>PARAMETERS!I239</f>
        <v>860</v>
      </c>
      <c r="B238" s="3">
        <f>PARAMETERS!J239</f>
        <v>4.4325999999999999</v>
      </c>
      <c r="C238" s="3">
        <f>CHL*PARAMETERS!M239</f>
        <v>2.5652001386540498E-5</v>
      </c>
      <c r="D238" s="3">
        <f>NAP*PARAMETERS!$B$21*EXP(-PARAMETERS!$B$22*(A238-443))</f>
        <v>2.4279739877640157E-6</v>
      </c>
      <c r="E238" s="3">
        <f>CDOM*EXP(-PARAMETERS!$B$23*(CALCULATIONS!A238-443))</f>
        <v>6.4956996911245919E-7</v>
      </c>
      <c r="F238" s="10">
        <f t="shared" si="16"/>
        <v>4.4326287295453435</v>
      </c>
      <c r="G238" s="3">
        <f>PARAMETERS!$B$16*PARAMETERS!$B$17*POWER(A238/500,PARAMETERS!$B$18)</f>
        <v>1.3831828689381793E-4</v>
      </c>
      <c r="H238" s="3">
        <f t="shared" si="17"/>
        <v>9.7527751823619436E-5</v>
      </c>
      <c r="I238" s="3">
        <f>PARAMETERS!$B$24*NAP*POWER(A238/555,PARAMETERS!$B$25)</f>
        <v>1.0200000000000001E-4</v>
      </c>
      <c r="J238" s="10">
        <f t="shared" si="18"/>
        <v>3.378460387174374E-4</v>
      </c>
      <c r="K238" s="11">
        <f>PARAMETERS!$B$13*CALCULATIONS!J238/(CALCULATIONS!F238+CALCULATIONS!J238)</f>
        <v>1.6496562964338608E-5</v>
      </c>
      <c r="L238" s="11">
        <f t="shared" si="15"/>
        <v>5.2510190796023587E-6</v>
      </c>
    </row>
    <row r="239" spans="1:12" x14ac:dyDescent="0.25">
      <c r="A239" s="1">
        <f>PARAMETERS!I240</f>
        <v>862</v>
      </c>
      <c r="B239" s="3">
        <f>PARAMETERS!J240</f>
        <v>4.5016400000000001</v>
      </c>
      <c r="C239" s="3">
        <f>CHL*PARAMETERS!M240</f>
        <v>2.5652001386540498E-5</v>
      </c>
      <c r="D239" s="3">
        <f>NAP*PARAMETERS!$B$21*EXP(-PARAMETERS!$B$22*(A239-443))</f>
        <v>2.3689744967191978E-6</v>
      </c>
      <c r="E239" s="3">
        <f>CDOM*EXP(-PARAMETERS!$B$23*(CALCULATIONS!A239-443))</f>
        <v>6.2710284730089771E-7</v>
      </c>
      <c r="F239" s="10">
        <f t="shared" si="16"/>
        <v>4.5016686480787298</v>
      </c>
      <c r="G239" s="3">
        <f>PARAMETERS!$B$16*PARAMETERS!$B$17*POWER(A239/500,PARAMETERS!$B$18)</f>
        <v>1.3693722491078786E-4</v>
      </c>
      <c r="H239" s="3">
        <f t="shared" si="17"/>
        <v>9.733277537971685E-5</v>
      </c>
      <c r="I239" s="3">
        <f>PARAMETERS!$B$24*NAP*POWER(A239/555,PARAMETERS!$B$25)</f>
        <v>1.0200000000000001E-4</v>
      </c>
      <c r="J239" s="10">
        <f t="shared" si="18"/>
        <v>3.3627000029050477E-4</v>
      </c>
      <c r="K239" s="11">
        <f>PARAMETERS!$B$13*CALCULATIONS!J239/(CALCULATIONS!F239+CALCULATIONS!J239)</f>
        <v>1.6167812119969729E-5</v>
      </c>
      <c r="L239" s="11">
        <f t="shared" si="15"/>
        <v>5.1463744357484757E-6</v>
      </c>
    </row>
    <row r="240" spans="1:12" x14ac:dyDescent="0.25">
      <c r="A240" s="1">
        <f>PARAMETERS!I241</f>
        <v>864</v>
      </c>
      <c r="B240" s="3">
        <f>PARAMETERS!J241</f>
        <v>4.5706800000000003</v>
      </c>
      <c r="C240" s="3">
        <f>CHL*PARAMETERS!M241</f>
        <v>2.5652001386540498E-5</v>
      </c>
      <c r="D240" s="3">
        <f>NAP*PARAMETERS!$B$21*EXP(-PARAMETERS!$B$22*(A240-443))</f>
        <v>2.3114086865791532E-6</v>
      </c>
      <c r="E240" s="3">
        <f>CDOM*EXP(-PARAMETERS!$B$23*(CALCULATIONS!A240-443))</f>
        <v>6.0541281123297858E-7</v>
      </c>
      <c r="F240" s="10">
        <f t="shared" si="16"/>
        <v>4.5707085688228846</v>
      </c>
      <c r="G240" s="3">
        <f>PARAMETERS!$B$16*PARAMETERS!$B$17*POWER(A240/500,PARAMETERS!$B$18)</f>
        <v>1.3557310518901367E-4</v>
      </c>
      <c r="H240" s="3">
        <f t="shared" si="17"/>
        <v>9.7138769136047431E-5</v>
      </c>
      <c r="I240" s="3">
        <f>PARAMETERS!$B$24*NAP*POWER(A240/555,PARAMETERS!$B$25)</f>
        <v>1.0200000000000001E-4</v>
      </c>
      <c r="J240" s="10">
        <f t="shared" si="18"/>
        <v>3.3471187432506115E-4</v>
      </c>
      <c r="K240" s="11">
        <f>PARAMETERS!$B$13*CALCULATIONS!J240/(CALCULATIONS!F240+CALCULATIONS!J240)</f>
        <v>1.5849839944717681E-5</v>
      </c>
      <c r="L240" s="11">
        <f t="shared" si="15"/>
        <v>5.0451607488343841E-6</v>
      </c>
    </row>
    <row r="241" spans="1:12" x14ac:dyDescent="0.25">
      <c r="A241" s="1">
        <f>PARAMETERS!I242</f>
        <v>866</v>
      </c>
      <c r="B241" s="3">
        <f>PARAMETERS!J242</f>
        <v>4.6345800000000006</v>
      </c>
      <c r="C241" s="3">
        <f>CHL*PARAMETERS!M242</f>
        <v>2.5652001386540498E-5</v>
      </c>
      <c r="D241" s="3">
        <f>NAP*PARAMETERS!$B$21*EXP(-PARAMETERS!$B$22*(A241-443))</f>
        <v>2.2552417190613792E-6</v>
      </c>
      <c r="E241" s="3">
        <f>CDOM*EXP(-PARAMETERS!$B$23*(CALCULATIONS!A241-443))</f>
        <v>5.8447298331138214E-7</v>
      </c>
      <c r="F241" s="10">
        <f t="shared" si="16"/>
        <v>4.6346084917160884</v>
      </c>
      <c r="G241" s="3">
        <f>PARAMETERS!$B$16*PARAMETERS!$B$17*POWER(A241/500,PARAMETERS!$B$18)</f>
        <v>1.3422568138897725E-4</v>
      </c>
      <c r="H241" s="3">
        <f t="shared" si="17"/>
        <v>9.6945726035796805E-5</v>
      </c>
      <c r="I241" s="3">
        <f>PARAMETERS!$B$24*NAP*POWER(A241/555,PARAMETERS!$B$25)</f>
        <v>1.0200000000000001E-4</v>
      </c>
      <c r="J241" s="10">
        <f t="shared" si="18"/>
        <v>3.3317140742477409E-4</v>
      </c>
      <c r="K241" s="11">
        <f>PARAMETERS!$B$13*CALCULATIONS!J241/(CALCULATIONS!F241+CALCULATIONS!J241)</f>
        <v>1.555938924967655E-5</v>
      </c>
      <c r="L241" s="11">
        <f t="shared" si="15"/>
        <v>4.9527074211538387E-6</v>
      </c>
    </row>
    <row r="242" spans="1:12" x14ac:dyDescent="0.25">
      <c r="A242" s="1">
        <f>PARAMETERS!I243</f>
        <v>868</v>
      </c>
      <c r="B242" s="3">
        <f>PARAMETERS!J243</f>
        <v>4.693340000000001</v>
      </c>
      <c r="C242" s="3">
        <f>CHL*PARAMETERS!M243</f>
        <v>2.5652001386540498E-5</v>
      </c>
      <c r="D242" s="3">
        <f>NAP*PARAMETERS!$B$21*EXP(-PARAMETERS!$B$22*(A242-443))</f>
        <v>2.2004396024496593E-6</v>
      </c>
      <c r="E242" s="3">
        <f>CDOM*EXP(-PARAMETERS!$B$23*(CALCULATIONS!A242-443))</f>
        <v>5.6425741557267383E-7</v>
      </c>
      <c r="F242" s="10">
        <f t="shared" si="16"/>
        <v>4.6933684166984051</v>
      </c>
      <c r="G242" s="3">
        <f>PARAMETERS!$B$16*PARAMETERS!$B$17*POWER(A242/500,PARAMETERS!$B$18)</f>
        <v>1.3289471131012925E-4</v>
      </c>
      <c r="H242" s="3">
        <f t="shared" si="17"/>
        <v>9.675363908961772E-5</v>
      </c>
      <c r="I242" s="3">
        <f>PARAMETERS!$B$24*NAP*POWER(A242/555,PARAMETERS!$B$25)</f>
        <v>1.0200000000000001E-4</v>
      </c>
      <c r="J242" s="10">
        <f t="shared" si="18"/>
        <v>3.3164835039974701E-4</v>
      </c>
      <c r="K242" s="11">
        <f>PARAMETERS!$B$13*CALCULATIONS!J242/(CALCULATIONS!F242+CALCULATIONS!J242)</f>
        <v>1.5294370340068748E-5</v>
      </c>
      <c r="L242" s="11">
        <f t="shared" si="15"/>
        <v>4.8683492822000271E-6</v>
      </c>
    </row>
    <row r="243" spans="1:12" x14ac:dyDescent="0.25">
      <c r="A243" s="1">
        <f>PARAMETERS!I244</f>
        <v>870</v>
      </c>
      <c r="B243" s="3">
        <f>PARAMETERS!J244</f>
        <v>4.7521000000000004</v>
      </c>
      <c r="C243" s="3">
        <f>CHL*PARAMETERS!M244</f>
        <v>2.5652001386540498E-5</v>
      </c>
      <c r="D243" s="3">
        <f>NAP*PARAMETERS!$B$21*EXP(-PARAMETERS!$B$22*(A243-443))</f>
        <v>2.1469691710226099E-6</v>
      </c>
      <c r="E243" s="3">
        <f>CDOM*EXP(-PARAMETERS!$B$23*(CALCULATIONS!A243-443))</f>
        <v>5.4474105753341637E-7</v>
      </c>
      <c r="F243" s="10">
        <f t="shared" si="16"/>
        <v>4.7521283437116155</v>
      </c>
      <c r="G243" s="3">
        <f>PARAMETERS!$B$16*PARAMETERS!$B$17*POWER(A243/500,PARAMETERS!$B$18)</f>
        <v>1.3157995681202788E-4</v>
      </c>
      <c r="H243" s="3">
        <f t="shared" si="17"/>
        <v>9.6562501374831275E-5</v>
      </c>
      <c r="I243" s="3">
        <f>PARAMETERS!$B$24*NAP*POWER(A243/555,PARAMETERS!$B$25)</f>
        <v>1.0200000000000001E-4</v>
      </c>
      <c r="J243" s="10">
        <f t="shared" si="18"/>
        <v>3.3014245818685918E-4</v>
      </c>
      <c r="K243" s="11">
        <f>PARAMETERS!$B$13*CALCULATIONS!J243/(CALCULATIONS!F243+CALCULATIONS!J243)</f>
        <v>1.503668643587493E-5</v>
      </c>
      <c r="L243" s="11">
        <f t="shared" si="15"/>
        <v>4.7863259479846983E-6</v>
      </c>
    </row>
    <row r="244" spans="1:12" x14ac:dyDescent="0.25">
      <c r="A244" s="1">
        <f>PARAMETERS!I245</f>
        <v>872</v>
      </c>
      <c r="B244" s="3">
        <f>PARAMETERS!J245</f>
        <v>4.8354200000000009</v>
      </c>
      <c r="C244" s="3">
        <f>CHL*PARAMETERS!M245</f>
        <v>2.5652001386540498E-5</v>
      </c>
      <c r="D244" s="3">
        <f>NAP*PARAMETERS!$B$21*EXP(-PARAMETERS!$B$22*(A244-443))</f>
        <v>2.0947980649820949E-6</v>
      </c>
      <c r="E244" s="3">
        <f>CDOM*EXP(-PARAMETERS!$B$23*(CALCULATIONS!A244-443))</f>
        <v>5.2589972514841571E-7</v>
      </c>
      <c r="F244" s="10">
        <f t="shared" si="16"/>
        <v>4.8354482726991774</v>
      </c>
      <c r="G244" s="3">
        <f>PARAMETERS!$B$16*PARAMETERS!$B$17*POWER(A244/500,PARAMETERS!$B$18)</f>
        <v>1.3028118373715594E-4</v>
      </c>
      <c r="H244" s="3">
        <f t="shared" si="17"/>
        <v>9.6372306034639801E-5</v>
      </c>
      <c r="I244" s="3">
        <f>PARAMETERS!$B$24*NAP*POWER(A244/555,PARAMETERS!$B$25)</f>
        <v>1.0200000000000001E-4</v>
      </c>
      <c r="J244" s="10">
        <f t="shared" si="18"/>
        <v>3.2865348977179575E-4</v>
      </c>
      <c r="K244" s="11">
        <f>PARAMETERS!$B$13*CALCULATIONS!J244/(CALCULATIONS!F244+CALCULATIONS!J244)</f>
        <v>1.4710962352263972E-5</v>
      </c>
      <c r="L244" s="11">
        <f t="shared" si="15"/>
        <v>4.6826447520031742E-6</v>
      </c>
    </row>
    <row r="245" spans="1:12" x14ac:dyDescent="0.25">
      <c r="A245" s="1">
        <f>PARAMETERS!I246</f>
        <v>874</v>
      </c>
      <c r="B245" s="3">
        <f>PARAMETERS!J246</f>
        <v>4.9187399999999997</v>
      </c>
      <c r="C245" s="3">
        <f>CHL*PARAMETERS!M246</f>
        <v>2.5652001386540498E-5</v>
      </c>
      <c r="D245" s="3">
        <f>NAP*PARAMETERS!$B$21*EXP(-PARAMETERS!$B$22*(A245-443))</f>
        <v>2.0438947108693778E-6</v>
      </c>
      <c r="E245" s="3">
        <f>CDOM*EXP(-PARAMETERS!$B$23*(CALCULATIONS!A245-443))</f>
        <v>5.0771007084262904E-7</v>
      </c>
      <c r="F245" s="10">
        <f t="shared" si="16"/>
        <v>4.9187682036061675</v>
      </c>
      <c r="G245" s="3">
        <f>PARAMETERS!$B$16*PARAMETERS!$B$17*POWER(A245/500,PARAMETERS!$B$18)</f>
        <v>1.2899816183537891E-4</v>
      </c>
      <c r="H245" s="3">
        <f t="shared" si="17"/>
        <v>9.6183046277350371E-5</v>
      </c>
      <c r="I245" s="3">
        <f>PARAMETERS!$B$24*NAP*POWER(A245/555,PARAMETERS!$B$25)</f>
        <v>1.0200000000000001E-4</v>
      </c>
      <c r="J245" s="10">
        <f t="shared" si="18"/>
        <v>3.2718120811272926E-4</v>
      </c>
      <c r="K245" s="11">
        <f>PARAMETERS!$B$13*CALCULATIONS!J245/(CALCULATIONS!F245+CALCULATIONS!J245)</f>
        <v>1.4397006554664544E-5</v>
      </c>
      <c r="L245" s="11">
        <f t="shared" si="15"/>
        <v>4.5827095178025594E-6</v>
      </c>
    </row>
    <row r="246" spans="1:12" x14ac:dyDescent="0.25">
      <c r="A246" s="1">
        <f>PARAMETERS!I247</f>
        <v>876</v>
      </c>
      <c r="B246" s="3">
        <f>PARAMETERS!J247</f>
        <v>5.0279000000000007</v>
      </c>
      <c r="C246" s="3">
        <f>CHL*PARAMETERS!M247</f>
        <v>2.5652001386540498E-5</v>
      </c>
      <c r="D246" s="3">
        <f>NAP*PARAMETERS!$B$21*EXP(-PARAMETERS!$B$22*(A246-443))</f>
        <v>1.994228302457177E-6</v>
      </c>
      <c r="E246" s="3">
        <f>CDOM*EXP(-PARAMETERS!$B$23*(CALCULATIONS!A246-443))</f>
        <v>4.9014955457959495E-7</v>
      </c>
      <c r="F246" s="10">
        <f t="shared" si="16"/>
        <v>5.0279281363792441</v>
      </c>
      <c r="G246" s="3">
        <f>PARAMETERS!$B$16*PARAMETERS!$B$17*POWER(A246/500,PARAMETERS!$B$18)</f>
        <v>1.277306646900032E-4</v>
      </c>
      <c r="H246" s="3">
        <f t="shared" si="17"/>
        <v>9.599471537560961E-5</v>
      </c>
      <c r="I246" s="3">
        <f>PARAMETERS!$B$24*NAP*POWER(A246/555,PARAMETERS!$B$25)</f>
        <v>1.0200000000000001E-4</v>
      </c>
      <c r="J246" s="10">
        <f t="shared" si="18"/>
        <v>3.2572538006561279E-4</v>
      </c>
      <c r="K246" s="11">
        <f>PARAMETERS!$B$13*CALCULATIONS!J246/(CALCULATIONS!F246+CALCULATIONS!J246)</f>
        <v>1.402179128347556E-5</v>
      </c>
      <c r="L246" s="11">
        <f t="shared" si="15"/>
        <v>4.4632747875359739E-6</v>
      </c>
    </row>
    <row r="247" spans="1:12" x14ac:dyDescent="0.25">
      <c r="A247" s="1">
        <f>PARAMETERS!I248</f>
        <v>878</v>
      </c>
      <c r="B247" s="3">
        <f>PARAMETERS!J248</f>
        <v>5.1629000000000005</v>
      </c>
      <c r="C247" s="3">
        <f>CHL*PARAMETERS!M248</f>
        <v>2.5652001386540498E-5</v>
      </c>
      <c r="D247" s="3">
        <f>NAP*PARAMETERS!$B$21*EXP(-PARAMETERS!$B$22*(A247-443))</f>
        <v>1.9457687821060122E-6</v>
      </c>
      <c r="E247" s="3">
        <f>CDOM*EXP(-PARAMETERS!$B$23*(CALCULATIONS!A247-443))</f>
        <v>4.7319641593054494E-7</v>
      </c>
      <c r="F247" s="10">
        <f t="shared" si="16"/>
        <v>5.1629280709665855</v>
      </c>
      <c r="G247" s="3">
        <f>PARAMETERS!$B$16*PARAMETERS!$B$17*POWER(A247/500,PARAMETERS!$B$18)</f>
        <v>1.2647846964539917E-4</v>
      </c>
      <c r="H247" s="3">
        <f t="shared" si="17"/>
        <v>9.5807306665648929E-5</v>
      </c>
      <c r="I247" s="3">
        <f>PARAMETERS!$B$24*NAP*POWER(A247/555,PARAMETERS!$B$25)</f>
        <v>1.0200000000000001E-4</v>
      </c>
      <c r="J247" s="10">
        <f t="shared" si="18"/>
        <v>3.2428577631104811E-4</v>
      </c>
      <c r="K247" s="11">
        <f>PARAMETERS!$B$13*CALCULATIONS!J247/(CALCULATIONS!F247+CALCULATIONS!J247)</f>
        <v>1.3594825670515297E-5</v>
      </c>
      <c r="L247" s="11">
        <f t="shared" si="15"/>
        <v>4.3273674118702E-6</v>
      </c>
    </row>
    <row r="248" spans="1:12" x14ac:dyDescent="0.25">
      <c r="A248" s="1">
        <f>PARAMETERS!I249</f>
        <v>880</v>
      </c>
      <c r="B248" s="3">
        <f>PARAMETERS!J249</f>
        <v>5.2979000000000003</v>
      </c>
      <c r="C248" s="3">
        <f>CHL*PARAMETERS!M249</f>
        <v>2.5652001386540498E-5</v>
      </c>
      <c r="D248" s="3">
        <f>NAP*PARAMETERS!$B$21*EXP(-PARAMETERS!$B$22*(A248-443))</f>
        <v>1.8984868225736236E-6</v>
      </c>
      <c r="E248" s="3">
        <f>CDOM*EXP(-PARAMETERS!$B$23*(CALCULATIONS!A248-443))</f>
        <v>4.5682964710957857E-7</v>
      </c>
      <c r="F248" s="10">
        <f t="shared" si="16"/>
        <v>5.2979280073178563</v>
      </c>
      <c r="G248" s="3">
        <f>PARAMETERS!$B$16*PARAMETERS!$B$17*POWER(A248/500,PARAMETERS!$B$18)</f>
        <v>1.2524135773615087E-4</v>
      </c>
      <c r="H248" s="3">
        <f t="shared" si="17"/>
        <v>9.5620813546540474E-5</v>
      </c>
      <c r="I248" s="3">
        <f>PARAMETERS!$B$24*NAP*POWER(A248/555,PARAMETERS!$B$25)</f>
        <v>1.0200000000000001E-4</v>
      </c>
      <c r="J248" s="10">
        <f t="shared" si="18"/>
        <v>3.2286217128269136E-4</v>
      </c>
      <c r="K248" s="11">
        <f>PARAMETERS!$B$13*CALCULATIONS!J248/(CALCULATIONS!F248+CALCULATIONS!J248)</f>
        <v>1.3190271644957983E-5</v>
      </c>
      <c r="L248" s="11">
        <f t="shared" si="15"/>
        <v>4.1985938660398575E-6</v>
      </c>
    </row>
    <row r="249" spans="1:12" x14ac:dyDescent="0.25">
      <c r="A249" s="1">
        <f>PARAMETERS!I250</f>
        <v>882</v>
      </c>
      <c r="B249" s="3">
        <f>PARAMETERS!J250</f>
        <v>5.4051799999999997</v>
      </c>
      <c r="C249" s="3">
        <f>CHL*PARAMETERS!M250</f>
        <v>2.5652001386540498E-5</v>
      </c>
      <c r="D249" s="3">
        <f>NAP*PARAMETERS!$B$21*EXP(-PARAMETERS!$B$22*(A249-443))</f>
        <v>1.8523538092663873E-6</v>
      </c>
      <c r="E249" s="3">
        <f>CDOM*EXP(-PARAMETERS!$B$23*(CALCULATIONS!A249-443))</f>
        <v>4.4102896694148589E-7</v>
      </c>
      <c r="F249" s="10">
        <f t="shared" si="16"/>
        <v>5.4052079453841619</v>
      </c>
      <c r="G249" s="3">
        <f>PARAMETERS!$B$16*PARAMETERS!$B$17*POWER(A249/500,PARAMETERS!$B$18)</f>
        <v>1.2401911361769788E-4</v>
      </c>
      <c r="H249" s="3">
        <f t="shared" si="17"/>
        <v>9.543522947946341E-5</v>
      </c>
      <c r="I249" s="3">
        <f>PARAMETERS!$B$24*NAP*POWER(A249/555,PARAMETERS!$B$25)</f>
        <v>1.0200000000000001E-4</v>
      </c>
      <c r="J249" s="10">
        <f t="shared" si="18"/>
        <v>3.2145434309716135E-4</v>
      </c>
      <c r="K249" s="11">
        <f>PARAMETERS!$B$13*CALCULATIONS!J249/(CALCULATIONS!F249+CALCULATIONS!J249)</f>
        <v>1.287212233684245E-5</v>
      </c>
      <c r="L249" s="11">
        <f t="shared" si="15"/>
        <v>4.0973237959841504E-6</v>
      </c>
    </row>
    <row r="250" spans="1:12" x14ac:dyDescent="0.25">
      <c r="A250" s="1">
        <f>PARAMETERS!I251</f>
        <v>884</v>
      </c>
      <c r="B250" s="3">
        <f>PARAMETERS!J251</f>
        <v>5.512459999999999</v>
      </c>
      <c r="C250" s="3">
        <f>CHL*PARAMETERS!M251</f>
        <v>2.5652001386540498E-5</v>
      </c>
      <c r="D250" s="3">
        <f>NAP*PARAMETERS!$B$21*EXP(-PARAMETERS!$B$22*(A250-443))</f>
        <v>1.8073418229220474E-6</v>
      </c>
      <c r="E250" s="3">
        <f>CDOM*EXP(-PARAMETERS!$B$23*(CALCULATIONS!A250-443))</f>
        <v>4.257747957299685E-7</v>
      </c>
      <c r="F250" s="10">
        <f t="shared" si="16"/>
        <v>5.5124878851180039</v>
      </c>
      <c r="G250" s="3">
        <f>PARAMETERS!$B$16*PARAMETERS!$B$17*POWER(A250/500,PARAMETERS!$B$18)</f>
        <v>1.2281152549843371E-4</v>
      </c>
      <c r="H250" s="3">
        <f t="shared" si="17"/>
        <v>9.525054798698028E-5</v>
      </c>
      <c r="I250" s="3">
        <f>PARAMETERS!$B$24*NAP*POWER(A250/555,PARAMETERS!$B$25)</f>
        <v>1.0200000000000001E-4</v>
      </c>
      <c r="J250" s="10">
        <f t="shared" si="18"/>
        <v>3.2006207348541402E-4</v>
      </c>
      <c r="K250" s="11">
        <f>PARAMETERS!$B$13*CALCULATIONS!J250/(CALCULATIONS!F250+CALCULATIONS!J250)</f>
        <v>1.2566966172561669E-5</v>
      </c>
      <c r="L250" s="11">
        <f t="shared" si="15"/>
        <v>4.0001895720636521E-6</v>
      </c>
    </row>
    <row r="251" spans="1:12" x14ac:dyDescent="0.25">
      <c r="A251" s="1">
        <f>PARAMETERS!I252</f>
        <v>886</v>
      </c>
      <c r="B251" s="3">
        <f>PARAMETERS!J252</f>
        <v>5.6191599999999999</v>
      </c>
      <c r="C251" s="3">
        <f>CHL*PARAMETERS!M252</f>
        <v>2.5652001386540498E-5</v>
      </c>
      <c r="D251" s="3">
        <f>NAP*PARAMETERS!$B$21*EXP(-PARAMETERS!$B$22*(A251-443))</f>
        <v>1.763423622713231E-6</v>
      </c>
      <c r="E251" s="3">
        <f>CDOM*EXP(-PARAMETERS!$B$23*(CALCULATIONS!A251-443))</f>
        <v>4.1104823099510495E-7</v>
      </c>
      <c r="F251" s="10">
        <f t="shared" si="16"/>
        <v>5.6191878264732402</v>
      </c>
      <c r="G251" s="3">
        <f>PARAMETERS!$B$16*PARAMETERS!$B$17*POWER(A251/500,PARAMETERS!$B$18)</f>
        <v>1.2161838507322785E-4</v>
      </c>
      <c r="H251" s="3">
        <f t="shared" si="17"/>
        <v>9.5066762652323727E-5</v>
      </c>
      <c r="I251" s="3">
        <f>PARAMETERS!$B$24*NAP*POWER(A251/555,PARAMETERS!$B$25)</f>
        <v>1.0200000000000001E-4</v>
      </c>
      <c r="J251" s="10">
        <f t="shared" si="18"/>
        <v>3.186851477255516E-4</v>
      </c>
      <c r="K251" s="11">
        <f>PARAMETERS!$B$13*CALCULATIONS!J251/(CALCULATIONS!F251+CALCULATIONS!J251)</f>
        <v>1.2275317658187579E-5</v>
      </c>
      <c r="L251" s="11">
        <f t="shared" si="15"/>
        <v>3.9073549666475647E-6</v>
      </c>
    </row>
    <row r="252" spans="1:12" x14ac:dyDescent="0.25">
      <c r="A252" s="1">
        <f>PARAMETERS!I253</f>
        <v>888</v>
      </c>
      <c r="B252" s="3">
        <f>PARAMETERS!J253</f>
        <v>5.7252799999999997</v>
      </c>
      <c r="C252" s="3">
        <f>CHL*PARAMETERS!M253</f>
        <v>2.5652001386540498E-5</v>
      </c>
      <c r="D252" s="3">
        <f>NAP*PARAMETERS!$B$21*EXP(-PARAMETERS!$B$22*(A252-443))</f>
        <v>1.7205726297615697E-6</v>
      </c>
      <c r="E252" s="3">
        <f>CDOM*EXP(-PARAMETERS!$B$23*(CALCULATIONS!A252-443))</f>
        <v>3.9683102405000485E-7</v>
      </c>
      <c r="F252" s="10">
        <f t="shared" si="16"/>
        <v>5.72530776940504</v>
      </c>
      <c r="G252" s="3">
        <f>PARAMETERS!$B$16*PARAMETERS!$B$17*POWER(A252/500,PARAMETERS!$B$18)</f>
        <v>1.2043948745833761E-4</v>
      </c>
      <c r="H252" s="3">
        <f t="shared" si="17"/>
        <v>9.4883867118692719E-5</v>
      </c>
      <c r="I252" s="3">
        <f>PARAMETERS!$B$24*NAP*POWER(A252/555,PARAMETERS!$B$25)</f>
        <v>1.0200000000000001E-4</v>
      </c>
      <c r="J252" s="10">
        <f t="shared" si="18"/>
        <v>3.1732335457703039E-4</v>
      </c>
      <c r="K252" s="11">
        <f>PARAMETERS!$B$13*CALCULATIONS!J252/(CALCULATIONS!F252+CALCULATIONS!J252)</f>
        <v>1.1996325023789612E-5</v>
      </c>
      <c r="L252" s="11">
        <f t="shared" si="15"/>
        <v>3.8185488529462312E-6</v>
      </c>
    </row>
    <row r="253" spans="1:12" x14ac:dyDescent="0.25">
      <c r="A253" s="1">
        <f>PARAMETERS!I254</f>
        <v>890</v>
      </c>
      <c r="B253" s="3">
        <f>PARAMETERS!J254</f>
        <v>5.8314000000000004</v>
      </c>
      <c r="C253" s="3">
        <f>CHL*PARAMETERS!M254</f>
        <v>2.5652001386540498E-5</v>
      </c>
      <c r="D253" s="3">
        <f>NAP*PARAMETERS!$B$21*EXP(-PARAMETERS!$B$22*(A253-443))</f>
        <v>1.6787629110524071E-6</v>
      </c>
      <c r="E253" s="3">
        <f>CDOM*EXP(-PARAMETERS!$B$23*(CALCULATIONS!A253-443))</f>
        <v>3.8310555738762189E-7</v>
      </c>
      <c r="F253" s="10">
        <f t="shared" si="16"/>
        <v>5.8314277138698545</v>
      </c>
      <c r="G253" s="3">
        <f>PARAMETERS!$B$16*PARAMETERS!$B$17*POWER(A253/500,PARAMETERS!$B$18)</f>
        <v>1.1927463112767846E-4</v>
      </c>
      <c r="H253" s="3">
        <f t="shared" si="17"/>
        <v>9.4701855088558784E-5</v>
      </c>
      <c r="I253" s="3">
        <f>PARAMETERS!$B$24*NAP*POWER(A253/555,PARAMETERS!$B$25)</f>
        <v>1.0200000000000001E-4</v>
      </c>
      <c r="J253" s="10">
        <f t="shared" si="18"/>
        <v>3.1597648621623723E-4</v>
      </c>
      <c r="K253" s="11">
        <f>PARAMETERS!$B$13*CALCULATIONS!J253/(CALCULATIONS!F253+CALCULATIONS!J253)</f>
        <v>1.1728039816085069E-5</v>
      </c>
      <c r="L253" s="11">
        <f t="shared" si="15"/>
        <v>3.7331510190170037E-6</v>
      </c>
    </row>
    <row r="254" spans="1:12" x14ac:dyDescent="0.25">
      <c r="A254" s="1">
        <f>PARAMETERS!I255</f>
        <v>892</v>
      </c>
      <c r="B254" s="3">
        <f>PARAMETERS!J255</f>
        <v>5.93628</v>
      </c>
      <c r="C254" s="3">
        <f>CHL*PARAMETERS!M255</f>
        <v>2.5652001386540498E-5</v>
      </c>
      <c r="D254" s="3">
        <f>NAP*PARAMETERS!$B$21*EXP(-PARAMETERS!$B$22*(A254-443))</f>
        <v>1.6379691637403835E-6</v>
      </c>
      <c r="E254" s="3">
        <f>CDOM*EXP(-PARAMETERS!$B$23*(CALCULATIONS!A254-443))</f>
        <v>3.6985482284970223E-7</v>
      </c>
      <c r="F254" s="10">
        <f t="shared" si="16"/>
        <v>5.9363076598253732</v>
      </c>
      <c r="G254" s="3">
        <f>PARAMETERS!$B$16*PARAMETERS!$B$17*POWER(A254/500,PARAMETERS!$B$18)</f>
        <v>1.1812361785042074E-4</v>
      </c>
      <c r="H254" s="3">
        <f t="shared" si="17"/>
        <v>9.4520720322981624E-5</v>
      </c>
      <c r="I254" s="3">
        <f>PARAMETERS!$B$24*NAP*POWER(A254/555,PARAMETERS!$B$25)</f>
        <v>1.0200000000000001E-4</v>
      </c>
      <c r="J254" s="10">
        <f t="shared" si="18"/>
        <v>3.1464433817340236E-4</v>
      </c>
      <c r="K254" s="11">
        <f>PARAMETERS!$B$13*CALCULATIONS!J254/(CALCULATIONS!F254+CALCULATIONS!J254)</f>
        <v>1.147227625846239E-5</v>
      </c>
      <c r="L254" s="11">
        <f t="shared" si="15"/>
        <v>3.6517389501001673E-6</v>
      </c>
    </row>
    <row r="255" spans="1:12" x14ac:dyDescent="0.25">
      <c r="A255" s="1">
        <f>PARAMETERS!I256</f>
        <v>894</v>
      </c>
      <c r="B255" s="3">
        <f>PARAMETERS!J256</f>
        <v>6.0411600000000005</v>
      </c>
      <c r="C255" s="3">
        <f>CHL*PARAMETERS!M256</f>
        <v>2.5652001386540498E-5</v>
      </c>
      <c r="D255" s="3">
        <f>NAP*PARAMETERS!$B$21*EXP(-PARAMETERS!$B$22*(A255-443))</f>
        <v>1.5981666998363997E-6</v>
      </c>
      <c r="E255" s="3">
        <f>CDOM*EXP(-PARAMETERS!$B$23*(CALCULATIONS!A255-443))</f>
        <v>3.5706240055082073E-7</v>
      </c>
      <c r="F255" s="10">
        <f t="shared" si="16"/>
        <v>6.0411876072304871</v>
      </c>
      <c r="G255" s="3">
        <f>PARAMETERS!$B$16*PARAMETERS!$B$17*POWER(A255/500,PARAMETERS!$B$18)</f>
        <v>1.1698625262988317E-4</v>
      </c>
      <c r="H255" s="3">
        <f t="shared" si="17"/>
        <v>9.4340456640934275E-5</v>
      </c>
      <c r="I255" s="3">
        <f>PARAMETERS!$B$24*NAP*POWER(A255/555,PARAMETERS!$B$25)</f>
        <v>1.0200000000000001E-4</v>
      </c>
      <c r="J255" s="10">
        <f t="shared" si="18"/>
        <v>3.1332670927081748E-4</v>
      </c>
      <c r="K255" s="11">
        <f>PARAMETERS!$B$13*CALCULATIONS!J255/(CALCULATIONS!F255+CALCULATIONS!J255)</f>
        <v>1.1225912819690431E-5</v>
      </c>
      <c r="L255" s="11">
        <f t="shared" si="15"/>
        <v>3.5733190319448177E-6</v>
      </c>
    </row>
    <row r="256" spans="1:12" x14ac:dyDescent="0.25">
      <c r="A256" s="1">
        <f>PARAMETERS!I257</f>
        <v>896</v>
      </c>
      <c r="B256" s="3">
        <f>PARAMETERS!J257</f>
        <v>6.1469000000000014</v>
      </c>
      <c r="C256" s="3">
        <f>CHL*PARAMETERS!M257</f>
        <v>2.5652001386540498E-5</v>
      </c>
      <c r="D256" s="3">
        <f>NAP*PARAMETERS!$B$21*EXP(-PARAMETERS!$B$22*(A256-443))</f>
        <v>1.5593314312666725E-6</v>
      </c>
      <c r="E256" s="3">
        <f>CDOM*EXP(-PARAMETERS!$B$23*(CALCULATIONS!A256-443))</f>
        <v>3.4471243853138662E-7</v>
      </c>
      <c r="F256" s="10">
        <f t="shared" si="16"/>
        <v>6.1469275560452568</v>
      </c>
      <c r="G256" s="3">
        <f>PARAMETERS!$B$16*PARAMETERS!$B$17*POWER(A256/500,PARAMETERS!$B$18)</f>
        <v>1.1586234364369232E-4</v>
      </c>
      <c r="H256" s="3">
        <f t="shared" si="17"/>
        <v>9.4161057918637438E-5</v>
      </c>
      <c r="I256" s="3">
        <f>PARAMETERS!$B$24*NAP*POWER(A256/555,PARAMETERS!$B$25)</f>
        <v>1.0200000000000001E-4</v>
      </c>
      <c r="J256" s="10">
        <f t="shared" si="18"/>
        <v>3.1202340156232975E-4</v>
      </c>
      <c r="K256" s="11">
        <f>PARAMETERS!$B$13*CALCULATIONS!J256/(CALCULATIONS!F256+CALCULATIONS!J256)</f>
        <v>1.0986924046990493E-5</v>
      </c>
      <c r="L256" s="11">
        <f t="shared" si="15"/>
        <v>3.4972465429074969E-6</v>
      </c>
    </row>
    <row r="257" spans="1:12" x14ac:dyDescent="0.25">
      <c r="A257" s="1">
        <f>PARAMETERS!I258</f>
        <v>898</v>
      </c>
      <c r="B257" s="3">
        <f>PARAMETERS!J258</f>
        <v>6.2535000000000007</v>
      </c>
      <c r="C257" s="3">
        <f>CHL*PARAMETERS!M258</f>
        <v>2.5652001386540498E-5</v>
      </c>
      <c r="D257" s="3">
        <f>NAP*PARAMETERS!$B$21*EXP(-PARAMETERS!$B$22*(A257-443))</f>
        <v>1.5214398552948697E-6</v>
      </c>
      <c r="E257" s="3">
        <f>CDOM*EXP(-PARAMETERS!$B$23*(CALCULATIONS!A257-443))</f>
        <v>3.3278963311440085E-7</v>
      </c>
      <c r="F257" s="10">
        <f t="shared" si="16"/>
        <v>6.2535275062308751</v>
      </c>
      <c r="G257" s="3">
        <f>PARAMETERS!$B$16*PARAMETERS!$B$17*POWER(A257/500,PARAMETERS!$B$18)</f>
        <v>1.1475170218518006E-4</v>
      </c>
      <c r="H257" s="3">
        <f t="shared" si="17"/>
        <v>9.3982518088902965E-5</v>
      </c>
      <c r="I257" s="3">
        <f>PARAMETERS!$B$24*NAP*POWER(A257/555,PARAMETERS!$B$25)</f>
        <v>1.0200000000000001E-4</v>
      </c>
      <c r="J257" s="10">
        <f t="shared" si="18"/>
        <v>3.1073422027408306E-4</v>
      </c>
      <c r="K257" s="11">
        <f>PARAMETERS!$B$13*CALCULATIONS!J257/(CALCULATIONS!F257+CALCULATIONS!J257)</f>
        <v>1.0755027727003296E-5</v>
      </c>
      <c r="L257" s="11">
        <f t="shared" si="15"/>
        <v>3.4234316516859322E-6</v>
      </c>
    </row>
    <row r="258" spans="1:12" x14ac:dyDescent="0.25">
      <c r="A258" s="1">
        <f>PARAMETERS!I259</f>
        <v>900</v>
      </c>
      <c r="B258" s="3">
        <f>PARAMETERS!J259</f>
        <v>6.3601000000000001</v>
      </c>
      <c r="C258" s="3">
        <f>CHL*PARAMETERS!M259</f>
        <v>2.5652001386540498E-5</v>
      </c>
      <c r="D258" s="3">
        <f>NAP*PARAMETERS!$B$21*EXP(-PARAMETERS!$B$22*(A258-443))</f>
        <v>1.484469040298467E-6</v>
      </c>
      <c r="E258" s="3">
        <f>CDOM*EXP(-PARAMETERS!$B$23*(CALCULATIONS!A258-443))</f>
        <v>3.212792099416331E-7</v>
      </c>
      <c r="F258" s="10">
        <f t="shared" si="16"/>
        <v>6.3601274577496367</v>
      </c>
      <c r="G258" s="3">
        <f>PARAMETERS!$B$16*PARAMETERS!$B$17*POWER(A258/500,PARAMETERS!$B$18)</f>
        <v>1.1365414260599003E-4</v>
      </c>
      <c r="H258" s="3">
        <f t="shared" si="17"/>
        <v>9.3804831140486349E-5</v>
      </c>
      <c r="I258" s="3">
        <f>PARAMETERS!$B$24*NAP*POWER(A258/555,PARAMETERS!$B$25)</f>
        <v>1.0200000000000001E-4</v>
      </c>
      <c r="J258" s="10">
        <f t="shared" si="18"/>
        <v>3.0945897374647639E-4</v>
      </c>
      <c r="K258" s="11">
        <f>PARAMETERS!$B$13*CALCULATIONS!J258/(CALCULATIONS!F258+CALCULATIONS!J258)</f>
        <v>1.053137860343762E-5</v>
      </c>
      <c r="L258" s="11">
        <f t="shared" si="15"/>
        <v>3.3522419246186376E-6</v>
      </c>
    </row>
    <row r="259" spans="1:12" x14ac:dyDescent="0.25">
      <c r="B259" s="3"/>
      <c r="C259" s="3"/>
      <c r="D259" s="3"/>
      <c r="E259" s="3"/>
      <c r="F259" s="10"/>
      <c r="G259" s="3"/>
      <c r="H259" s="3"/>
      <c r="I259" s="3"/>
      <c r="J259" s="10"/>
      <c r="K259" s="11"/>
      <c r="L259" s="11"/>
    </row>
    <row r="260" spans="1:12" x14ac:dyDescent="0.25">
      <c r="B260" s="3"/>
      <c r="C260" s="3"/>
      <c r="D260" s="3"/>
      <c r="E260" s="3"/>
      <c r="F260" s="10"/>
      <c r="G260" s="3"/>
      <c r="H260" s="3"/>
      <c r="I260" s="3"/>
      <c r="J260" s="10"/>
      <c r="K260" s="11"/>
      <c r="L260" s="11"/>
    </row>
    <row r="261" spans="1:12" x14ac:dyDescent="0.25">
      <c r="B261" s="3"/>
      <c r="C261" s="3"/>
      <c r="D261" s="3"/>
      <c r="E261" s="3"/>
      <c r="F261" s="10"/>
      <c r="G261" s="3"/>
      <c r="H261" s="3"/>
      <c r="I261" s="3"/>
      <c r="J261" s="10"/>
      <c r="K261" s="11"/>
      <c r="L261" s="11"/>
    </row>
    <row r="262" spans="1:12" x14ac:dyDescent="0.25">
      <c r="B262" s="3"/>
      <c r="C262" s="3"/>
      <c r="D262" s="3"/>
      <c r="E262" s="3"/>
      <c r="F262" s="10"/>
      <c r="G262" s="3"/>
      <c r="H262" s="3"/>
      <c r="I262" s="3"/>
      <c r="J262" s="10"/>
      <c r="K262" s="11"/>
      <c r="L262" s="11"/>
    </row>
    <row r="263" spans="1:12" x14ac:dyDescent="0.25">
      <c r="B263" s="3"/>
      <c r="C263" s="3"/>
      <c r="D263" s="3"/>
      <c r="E263" s="3"/>
      <c r="F263" s="10"/>
      <c r="G263" s="3"/>
      <c r="H263" s="3"/>
      <c r="I263" s="3"/>
      <c r="J263" s="10"/>
      <c r="K263" s="11"/>
      <c r="L263" s="11"/>
    </row>
    <row r="264" spans="1:12" x14ac:dyDescent="0.25">
      <c r="B264" s="3"/>
      <c r="C264" s="3"/>
      <c r="D264" s="3"/>
      <c r="E264" s="3"/>
      <c r="F264" s="10"/>
      <c r="G264" s="3"/>
      <c r="H264" s="3"/>
      <c r="I264" s="3"/>
      <c r="J264" s="10"/>
      <c r="K264" s="11"/>
      <c r="L264" s="11"/>
    </row>
    <row r="265" spans="1:12" x14ac:dyDescent="0.25">
      <c r="B265" s="3"/>
      <c r="C265" s="3"/>
      <c r="D265" s="3"/>
      <c r="E265" s="3"/>
      <c r="F265" s="10"/>
      <c r="G265" s="3"/>
      <c r="H265" s="3"/>
      <c r="I265" s="3"/>
      <c r="J265" s="10"/>
      <c r="K265" s="11"/>
      <c r="L265" s="11"/>
    </row>
    <row r="266" spans="1:12" x14ac:dyDescent="0.25">
      <c r="B266" s="3"/>
      <c r="C266" s="3"/>
      <c r="D266" s="3"/>
      <c r="E266" s="3"/>
      <c r="F266" s="10"/>
      <c r="G266" s="3"/>
      <c r="H266" s="3"/>
      <c r="I266" s="3"/>
      <c r="J266" s="10"/>
      <c r="K266" s="11"/>
      <c r="L266" s="11"/>
    </row>
    <row r="267" spans="1:12" x14ac:dyDescent="0.25">
      <c r="B267" s="3"/>
      <c r="C267" s="3"/>
      <c r="D267" s="3"/>
      <c r="E267" s="3"/>
      <c r="F267" s="10"/>
      <c r="G267" s="3"/>
      <c r="H267" s="3"/>
      <c r="I267" s="3"/>
      <c r="J267" s="10"/>
      <c r="K267" s="11"/>
      <c r="L267" s="11"/>
    </row>
    <row r="268" spans="1:12" x14ac:dyDescent="0.25">
      <c r="B268" s="3"/>
      <c r="C268" s="3"/>
      <c r="D268" s="3"/>
      <c r="E268" s="3"/>
      <c r="F268" s="10"/>
      <c r="G268" s="3"/>
      <c r="H268" s="3"/>
      <c r="I268" s="3"/>
      <c r="J268" s="10"/>
      <c r="K268" s="11"/>
      <c r="L268" s="11"/>
    </row>
    <row r="269" spans="1:12" x14ac:dyDescent="0.25">
      <c r="B269" s="3"/>
      <c r="C269" s="3"/>
      <c r="D269" s="3"/>
      <c r="E269" s="3"/>
      <c r="F269" s="10"/>
      <c r="G269" s="3"/>
      <c r="H269" s="3"/>
      <c r="I269" s="3"/>
      <c r="J269" s="10"/>
      <c r="K269" s="11"/>
      <c r="L269" s="11"/>
    </row>
    <row r="270" spans="1:12" x14ac:dyDescent="0.25">
      <c r="B270" s="3"/>
      <c r="C270" s="3"/>
      <c r="D270" s="3"/>
      <c r="E270" s="3"/>
      <c r="F270" s="10"/>
      <c r="G270" s="3"/>
      <c r="H270" s="3"/>
      <c r="I270" s="3"/>
      <c r="J270" s="10"/>
      <c r="K270" s="11"/>
      <c r="L270" s="11"/>
    </row>
    <row r="271" spans="1:12" x14ac:dyDescent="0.25">
      <c r="B271" s="3"/>
      <c r="C271" s="3"/>
      <c r="D271" s="3"/>
      <c r="E271" s="3"/>
      <c r="F271" s="10"/>
      <c r="G271" s="3"/>
      <c r="H271" s="3"/>
      <c r="I271" s="3"/>
      <c r="J271" s="10"/>
      <c r="K271" s="11"/>
      <c r="L271" s="11"/>
    </row>
    <row r="272" spans="1:12" x14ac:dyDescent="0.25">
      <c r="B272" s="3"/>
      <c r="C272" s="3"/>
      <c r="D272" s="3"/>
      <c r="E272" s="3"/>
      <c r="F272" s="10"/>
      <c r="G272" s="3"/>
      <c r="H272" s="3"/>
      <c r="I272" s="3"/>
      <c r="J272" s="10"/>
      <c r="K272" s="11"/>
      <c r="L272" s="11"/>
    </row>
    <row r="273" spans="2:12" x14ac:dyDescent="0.25">
      <c r="B273" s="3"/>
      <c r="C273" s="3"/>
      <c r="D273" s="3"/>
      <c r="E273" s="3"/>
      <c r="F273" s="10"/>
      <c r="G273" s="3"/>
      <c r="H273" s="3"/>
      <c r="I273" s="3"/>
      <c r="J273" s="10"/>
      <c r="K273" s="11"/>
      <c r="L273" s="11"/>
    </row>
    <row r="274" spans="2:12" x14ac:dyDescent="0.25">
      <c r="B274" s="3"/>
      <c r="C274" s="3"/>
      <c r="D274" s="3"/>
      <c r="E274" s="3"/>
      <c r="F274" s="10"/>
      <c r="G274" s="3"/>
      <c r="H274" s="3"/>
      <c r="I274" s="3"/>
      <c r="J274" s="10"/>
      <c r="K274" s="11"/>
      <c r="L274" s="11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3"/>
  <sheetViews>
    <sheetView topLeftCell="A4" workbookViewId="0">
      <selection activeCell="G11" sqref="G11"/>
    </sheetView>
  </sheetViews>
  <sheetFormatPr defaultRowHeight="13.2" x14ac:dyDescent="0.25"/>
  <cols>
    <col min="1" max="1" width="18.5546875" customWidth="1"/>
    <col min="2" max="2" width="12.33203125" customWidth="1"/>
    <col min="4" max="4" width="20.5546875" customWidth="1"/>
    <col min="5" max="5" width="14" customWidth="1"/>
    <col min="6" max="6" width="13" customWidth="1"/>
  </cols>
  <sheetData>
    <row r="1" spans="1:8" x14ac:dyDescent="0.25">
      <c r="B1" t="s">
        <v>117</v>
      </c>
      <c r="C1" t="s">
        <v>123</v>
      </c>
      <c r="D1" t="s">
        <v>135</v>
      </c>
    </row>
    <row r="2" spans="1:8" x14ac:dyDescent="0.25">
      <c r="A2" s="2" t="s">
        <v>121</v>
      </c>
      <c r="B2" s="31">
        <f>0.5*(B195+B196)</f>
        <v>3.4304340700455067E-5</v>
      </c>
      <c r="C2" s="31">
        <f>0.5*(C195+C196)</f>
        <v>1.6500019421265215E-2</v>
      </c>
      <c r="D2" s="31">
        <f>0.5*(D195+D196)</f>
        <v>1.6534323761965668E-2</v>
      </c>
    </row>
    <row r="3" spans="1:8" ht="13.8" thickBot="1" x14ac:dyDescent="0.3">
      <c r="A3" s="2" t="s">
        <v>122</v>
      </c>
      <c r="B3" s="31">
        <f>0.5*(B245+B246)</f>
        <v>1.5704614597197114E-5</v>
      </c>
      <c r="C3" s="31">
        <f>0.5*(C245+C246)</f>
        <v>1.500001380941712E-2</v>
      </c>
      <c r="D3" s="31">
        <f>0.5*(D245+D246)</f>
        <v>1.5015718424014318E-2</v>
      </c>
    </row>
    <row r="4" spans="1:8" ht="13.8" thickTop="1" x14ac:dyDescent="0.25">
      <c r="A4" t="s">
        <v>124</v>
      </c>
      <c r="B4" s="35">
        <f>B2/B3</f>
        <v>2.184347822618808</v>
      </c>
      <c r="C4" s="35">
        <f>C2/C3</f>
        <v>1.100000282060166</v>
      </c>
      <c r="D4" s="35">
        <f>D2/D3</f>
        <v>1.1011343776613896</v>
      </c>
    </row>
    <row r="6" spans="1:8" x14ac:dyDescent="0.25">
      <c r="E6" s="1" t="s">
        <v>113</v>
      </c>
      <c r="F6" s="31"/>
    </row>
    <row r="7" spans="1:8" x14ac:dyDescent="0.25">
      <c r="D7" s="2" t="s">
        <v>119</v>
      </c>
      <c r="E7" s="34">
        <v>0</v>
      </c>
      <c r="F7" s="39">
        <f>B4</f>
        <v>2.184347822618808</v>
      </c>
      <c r="G7" s="33">
        <v>1.72</v>
      </c>
      <c r="H7" s="1" t="s">
        <v>128</v>
      </c>
    </row>
    <row r="8" spans="1:8" x14ac:dyDescent="0.25">
      <c r="B8" s="1" t="s">
        <v>112</v>
      </c>
      <c r="D8" s="2" t="s">
        <v>120</v>
      </c>
      <c r="E8" s="31">
        <f>D2</f>
        <v>1.6534323761965668E-2</v>
      </c>
      <c r="F8" s="31">
        <f>F10*(F7*$D3-$D2)/(F7-F10)</f>
        <v>1.6500010898380817E-2</v>
      </c>
      <c r="G8" s="31">
        <f>G10*(G7*$D3-$D2)/(G7-G10)</f>
        <v>1.6487069548504606E-2</v>
      </c>
    </row>
    <row r="9" spans="1:8" x14ac:dyDescent="0.25">
      <c r="A9" t="s">
        <v>114</v>
      </c>
      <c r="B9" s="37">
        <v>1.4999999999999999E-2</v>
      </c>
      <c r="D9" s="2" t="s">
        <v>114</v>
      </c>
      <c r="E9" s="31">
        <f>D3</f>
        <v>1.5015718424014318E-2</v>
      </c>
      <c r="F9" s="31">
        <f>F8/F10</f>
        <v>1.5000009907618923E-2</v>
      </c>
      <c r="G9" s="31">
        <f>G8/G10</f>
        <v>1.4988245044095095E-2</v>
      </c>
    </row>
    <row r="10" spans="1:8" x14ac:dyDescent="0.25">
      <c r="A10" t="s">
        <v>115</v>
      </c>
      <c r="B10" s="38">
        <v>1.1000000000000001</v>
      </c>
      <c r="D10" s="2" t="s">
        <v>115</v>
      </c>
      <c r="E10" s="9">
        <f>E8/E9</f>
        <v>1.1011343776613896</v>
      </c>
      <c r="F10" s="40">
        <f>B10</f>
        <v>1.1000000000000001</v>
      </c>
      <c r="G10" s="32">
        <v>1.1000000000000001</v>
      </c>
      <c r="H10" s="1" t="s">
        <v>129</v>
      </c>
    </row>
    <row r="11" spans="1:8" x14ac:dyDescent="0.25">
      <c r="A11" t="s">
        <v>116</v>
      </c>
      <c r="B11" s="3">
        <f>LN(B10)/LN(865/765)</f>
        <v>0.77580244363226503</v>
      </c>
      <c r="D11" t="s">
        <v>116</v>
      </c>
      <c r="E11" s="3">
        <f>LN(E10)/LN(865/765)</f>
        <v>0.7841922704718336</v>
      </c>
      <c r="F11" s="3">
        <f>LN(F10)/LN(865/765)</f>
        <v>0.77580244363226503</v>
      </c>
      <c r="G11" s="3">
        <f>LN(G10)/LN(865/765)</f>
        <v>0.77580244363226503</v>
      </c>
    </row>
    <row r="12" spans="1:8" x14ac:dyDescent="0.25">
      <c r="A12" s="1" t="str">
        <f>CALCULATIONS!A7</f>
        <v>Wavelength (nm)</v>
      </c>
      <c r="B12" s="1" t="s">
        <v>131</v>
      </c>
      <c r="C12" s="1" t="s">
        <v>118</v>
      </c>
      <c r="D12" s="1" t="s">
        <v>130</v>
      </c>
      <c r="E12" s="1" t="s">
        <v>134</v>
      </c>
      <c r="F12" s="1" t="s">
        <v>132</v>
      </c>
      <c r="G12" s="1" t="s">
        <v>133</v>
      </c>
    </row>
    <row r="13" spans="1:8" x14ac:dyDescent="0.25">
      <c r="A13" s="1">
        <f>CALCULATIONS!A8</f>
        <v>400</v>
      </c>
      <c r="B13" s="36">
        <f>PI()*CALCULATIONS!L8</f>
        <v>6.4583360373668797E-2</v>
      </c>
      <c r="C13" s="31">
        <f>$B$9*POWER(A13/865,-$B$11)</f>
        <v>2.7286701026751584E-2</v>
      </c>
      <c r="D13" s="30">
        <f>B13+C13</f>
        <v>9.187006140042038E-2</v>
      </c>
      <c r="E13" s="31">
        <f>$D13-E$9*POWER($A13/865,-E$11)</f>
        <v>6.4377442435865809E-2</v>
      </c>
      <c r="F13" s="31">
        <f>$D13-F$9*POWER($A13/865,-F$11)</f>
        <v>6.4583342350586437E-2</v>
      </c>
      <c r="G13" s="31">
        <f>$D13-G$9*POWER($A13/865,-G$11)</f>
        <v>6.4604743971492781E-2</v>
      </c>
    </row>
    <row r="14" spans="1:8" x14ac:dyDescent="0.25">
      <c r="A14" s="1">
        <f>CALCULATIONS!A9</f>
        <v>402</v>
      </c>
      <c r="B14" s="36">
        <f>PI()*CALCULATIONS!L9</f>
        <v>6.3513023585173065E-2</v>
      </c>
      <c r="C14" s="31">
        <f t="shared" ref="C14:C77" si="0">$B$9*POWER(A14/865,-$B$11)</f>
        <v>2.7181323317871337E-2</v>
      </c>
      <c r="D14" s="30">
        <f t="shared" ref="D14:D77" si="1">B14+C14</f>
        <v>9.0694346903044398E-2</v>
      </c>
      <c r="E14" s="31">
        <f t="shared" ref="E14:G77" si="2">$D14-E$9*POWER($A14/865,-E$11)</f>
        <v>6.3309046826970361E-2</v>
      </c>
      <c r="F14" s="31">
        <f t="shared" si="2"/>
        <v>6.3513005631693514E-2</v>
      </c>
      <c r="G14" s="31">
        <f t="shared" si="2"/>
        <v>6.353432460230897E-2</v>
      </c>
    </row>
    <row r="15" spans="1:8" x14ac:dyDescent="0.25">
      <c r="A15" s="1">
        <f>CALCULATIONS!A10</f>
        <v>404</v>
      </c>
      <c r="B15" s="36">
        <f>PI()*CALCULATIONS!L10</f>
        <v>6.1931190667370156E-2</v>
      </c>
      <c r="C15" s="31">
        <f t="shared" si="0"/>
        <v>2.7076872510657581E-2</v>
      </c>
      <c r="D15" s="30">
        <f t="shared" si="1"/>
        <v>8.900806317802773E-2</v>
      </c>
      <c r="E15" s="31">
        <f t="shared" si="2"/>
        <v>6.1729133574071067E-2</v>
      </c>
      <c r="F15" s="31">
        <f t="shared" si="2"/>
        <v>6.1931172782881183E-2</v>
      </c>
      <c r="G15" s="31">
        <f t="shared" si="2"/>
        <v>6.1952409830197182E-2</v>
      </c>
    </row>
    <row r="16" spans="1:8" x14ac:dyDescent="0.25">
      <c r="A16" s="1">
        <f>CALCULATIONS!A11</f>
        <v>406</v>
      </c>
      <c r="B16" s="36">
        <f>PI()*CALCULATIONS!L11</f>
        <v>6.0401589930003795E-2</v>
      </c>
      <c r="C16" s="31">
        <f t="shared" si="0"/>
        <v>2.6973335923721559E-2</v>
      </c>
      <c r="D16" s="30">
        <f t="shared" si="1"/>
        <v>8.737492585372536E-2</v>
      </c>
      <c r="E16" s="31">
        <f t="shared" si="2"/>
        <v>6.0201431320213779E-2</v>
      </c>
      <c r="F16" s="31">
        <f t="shared" si="2"/>
        <v>6.0401572113901569E-2</v>
      </c>
      <c r="G16" s="31">
        <f t="shared" si="2"/>
        <v>6.0422727954963236E-2</v>
      </c>
    </row>
    <row r="17" spans="1:7" x14ac:dyDescent="0.25">
      <c r="A17" s="1">
        <f>CALCULATIONS!A12</f>
        <v>408</v>
      </c>
      <c r="B17" s="36">
        <f>PI()*CALCULATIONS!L12</f>
        <v>5.8841106502801985E-2</v>
      </c>
      <c r="C17" s="31">
        <f t="shared" si="0"/>
        <v>2.6870701110521814E-2</v>
      </c>
      <c r="D17" s="30">
        <f t="shared" si="1"/>
        <v>8.5711807613323795E-2</v>
      </c>
      <c r="E17" s="31">
        <f t="shared" si="2"/>
        <v>5.864282552172552E-2</v>
      </c>
      <c r="F17" s="31">
        <f t="shared" si="2"/>
        <v>5.8841088754490858E-2</v>
      </c>
      <c r="G17" s="31">
        <f t="shared" si="2"/>
        <v>5.8862164096581182E-2</v>
      </c>
    </row>
    <row r="18" spans="1:7" x14ac:dyDescent="0.25">
      <c r="A18" s="1">
        <f>CALCULATIONS!A13</f>
        <v>410</v>
      </c>
      <c r="B18" s="36">
        <f>PI()*CALCULATIONS!L13</f>
        <v>5.7294507677212309E-2</v>
      </c>
      <c r="C18" s="31">
        <f t="shared" si="0"/>
        <v>2.6768955853890025E-2</v>
      </c>
      <c r="D18" s="30">
        <f t="shared" si="1"/>
        <v>8.4063463531102334E-2</v>
      </c>
      <c r="E18" s="31">
        <f t="shared" si="2"/>
        <v>5.7098083790116008E-2</v>
      </c>
      <c r="F18" s="31">
        <f t="shared" si="2"/>
        <v>5.7294489996104737E-2</v>
      </c>
      <c r="G18" s="31">
        <f t="shared" si="2"/>
        <v>5.7315485536924497E-2</v>
      </c>
    </row>
    <row r="19" spans="1:7" x14ac:dyDescent="0.25">
      <c r="A19" s="1">
        <f>CALCULATIONS!A14</f>
        <v>412</v>
      </c>
      <c r="B19" s="36">
        <f>PI()*CALCULATIONS!L14</f>
        <v>5.5764009240825543E-2</v>
      </c>
      <c r="C19" s="31">
        <f t="shared" si="0"/>
        <v>2.6668088160710431E-2</v>
      </c>
      <c r="D19" s="30">
        <f t="shared" si="1"/>
        <v>8.2432097401535981E-2</v>
      </c>
      <c r="E19" s="31">
        <f t="shared" si="2"/>
        <v>5.5569422226662259E-2</v>
      </c>
      <c r="F19" s="31">
        <f t="shared" si="2"/>
        <v>5.5763991626341894E-2</v>
      </c>
      <c r="G19" s="31">
        <f t="shared" si="2"/>
        <v>5.5784908054185366E-2</v>
      </c>
    </row>
    <row r="20" spans="1:7" x14ac:dyDescent="0.25">
      <c r="A20" s="1">
        <f>CALCULATIONS!A15</f>
        <v>414</v>
      </c>
      <c r="B20" s="36">
        <f>PI()*CALCULATIONS!L15</f>
        <v>5.3838048488564848E-2</v>
      </c>
      <c r="C20" s="31">
        <f t="shared" si="0"/>
        <v>2.6568086256747791E-2</v>
      </c>
      <c r="D20" s="30">
        <f t="shared" si="1"/>
        <v>8.0406134745312635E-2</v>
      </c>
      <c r="E20" s="31">
        <f t="shared" si="2"/>
        <v>5.3645278433754225E-2</v>
      </c>
      <c r="F20" s="31">
        <f t="shared" si="2"/>
        <v>5.383803094013323E-2</v>
      </c>
      <c r="G20" s="31">
        <f t="shared" si="2"/>
        <v>5.3858868934059896E-2</v>
      </c>
    </row>
    <row r="21" spans="1:7" x14ac:dyDescent="0.25">
      <c r="A21" s="1">
        <f>CALCULATIONS!A16</f>
        <v>416</v>
      </c>
      <c r="B21" s="36">
        <f>PI()*CALCULATIONS!L16</f>
        <v>5.2415496224334127E-2</v>
      </c>
      <c r="C21" s="31">
        <f t="shared" si="0"/>
        <v>2.6468938581619039E-2</v>
      </c>
      <c r="D21" s="30">
        <f t="shared" si="1"/>
        <v>7.8884434805953169E-2</v>
      </c>
      <c r="E21" s="31">
        <f t="shared" si="2"/>
        <v>5.2224523516695119E-2</v>
      </c>
      <c r="F21" s="31">
        <f t="shared" si="2"/>
        <v>5.2415478741390346E-2</v>
      </c>
      <c r="G21" s="31">
        <f t="shared" si="2"/>
        <v>5.2436238971392574E-2</v>
      </c>
    </row>
    <row r="22" spans="1:7" x14ac:dyDescent="0.25">
      <c r="A22" s="1">
        <f>CALCULATIONS!A17</f>
        <v>418</v>
      </c>
      <c r="B22" s="36">
        <f>PI()*CALCULATIONS!L17</f>
        <v>5.1027776912389654E-2</v>
      </c>
      <c r="C22" s="31">
        <f t="shared" si="0"/>
        <v>2.6370633783903967E-2</v>
      </c>
      <c r="D22" s="30">
        <f t="shared" si="1"/>
        <v>7.7398410696293621E-2</v>
      </c>
      <c r="E22" s="31">
        <f t="shared" si="2"/>
        <v>5.0838582235220323E-2</v>
      </c>
      <c r="F22" s="31">
        <f t="shared" si="2"/>
        <v>5.1027759494376969E-2</v>
      </c>
      <c r="G22" s="31">
        <f t="shared" si="2"/>
        <v>5.1048442621543934E-2</v>
      </c>
    </row>
    <row r="23" spans="1:7" x14ac:dyDescent="0.25">
      <c r="A23" s="1">
        <f>CALCULATIONS!A18</f>
        <v>420</v>
      </c>
      <c r="B23" s="36">
        <f>PI()*CALCULATIONS!L18</f>
        <v>4.933090821814487E-2</v>
      </c>
      <c r="C23" s="31">
        <f t="shared" si="0"/>
        <v>2.6273160716390454E-2</v>
      </c>
      <c r="D23" s="30">
        <f t="shared" si="1"/>
        <v>7.5604068934535321E-2</v>
      </c>
      <c r="E23" s="31">
        <f t="shared" si="2"/>
        <v>4.914347254444551E-2</v>
      </c>
      <c r="F23" s="31">
        <f t="shared" si="2"/>
        <v>4.9330890864513914E-2</v>
      </c>
      <c r="G23" s="31">
        <f t="shared" si="2"/>
        <v>4.9351497541191773E-2</v>
      </c>
    </row>
    <row r="24" spans="1:7" x14ac:dyDescent="0.25">
      <c r="A24" s="1">
        <f>CALCULATIONS!A19</f>
        <v>422</v>
      </c>
      <c r="B24" s="36">
        <f>PI()*CALCULATIONS!L19</f>
        <v>4.7656428586858368E-2</v>
      </c>
      <c r="C24" s="31">
        <f t="shared" si="0"/>
        <v>2.6176508431449929E-2</v>
      </c>
      <c r="D24" s="30">
        <f t="shared" si="1"/>
        <v>7.3832937018308301E-2</v>
      </c>
      <c r="E24" s="31">
        <f t="shared" si="2"/>
        <v>4.7470733173693686E-2</v>
      </c>
      <c r="F24" s="31">
        <f t="shared" si="2"/>
        <v>4.765641129706702E-2</v>
      </c>
      <c r="G24" s="31">
        <f t="shared" si="2"/>
        <v>4.7676942167015443E-2</v>
      </c>
    </row>
    <row r="25" spans="1:7" x14ac:dyDescent="0.25">
      <c r="A25" s="1">
        <f>CALCULATIONS!A20</f>
        <v>424</v>
      </c>
      <c r="B25" s="36">
        <f>PI()*CALCULATIONS!L20</f>
        <v>4.6342300178785496E-2</v>
      </c>
      <c r="C25" s="31">
        <f t="shared" si="0"/>
        <v>2.6080666176538897E-2</v>
      </c>
      <c r="D25" s="30">
        <f t="shared" si="1"/>
        <v>7.2422966355324386E-2</v>
      </c>
      <c r="E25" s="31">
        <f t="shared" si="2"/>
        <v>4.6158326561781843E-2</v>
      </c>
      <c r="F25" s="31">
        <f t="shared" si="2"/>
        <v>4.6342282952298711E-2</v>
      </c>
      <c r="G25" s="31">
        <f t="shared" si="2"/>
        <v>4.6362738650843872E-2</v>
      </c>
    </row>
    <row r="26" spans="1:7" x14ac:dyDescent="0.25">
      <c r="A26" s="1">
        <f>CALCULATIONS!A21</f>
        <v>426</v>
      </c>
      <c r="B26" s="36">
        <f>PI()*CALCULATIONS!L21</f>
        <v>4.4796288630103973E-2</v>
      </c>
      <c r="C26" s="31">
        <f t="shared" si="0"/>
        <v>2.5985623389822483E-2</v>
      </c>
      <c r="D26" s="30">
        <f t="shared" si="1"/>
        <v>7.0781912019926452E-2</v>
      </c>
      <c r="E26" s="31">
        <f t="shared" si="2"/>
        <v>4.4614018618077941E-2</v>
      </c>
      <c r="F26" s="31">
        <f t="shared" si="2"/>
        <v>4.47962714663937E-2</v>
      </c>
      <c r="G26" s="31">
        <f t="shared" si="2"/>
        <v>4.4816652620577893E-2</v>
      </c>
    </row>
    <row r="27" spans="1:7" x14ac:dyDescent="0.25">
      <c r="A27" s="1">
        <f>CALCULATIONS!A22</f>
        <v>428</v>
      </c>
      <c r="B27" s="36">
        <f>PI()*CALCULATIONS!L22</f>
        <v>4.3626666480805099E-2</v>
      </c>
      <c r="C27" s="31">
        <f t="shared" si="0"/>
        <v>2.5891369695916197E-2</v>
      </c>
      <c r="D27" s="30">
        <f t="shared" si="1"/>
        <v>6.9518036176721296E-2</v>
      </c>
      <c r="E27" s="31">
        <f t="shared" si="2"/>
        <v>4.3446082150519524E-2</v>
      </c>
      <c r="F27" s="31">
        <f t="shared" si="2"/>
        <v>4.3626649379350145E-2</v>
      </c>
      <c r="G27" s="31">
        <f t="shared" si="2"/>
        <v>4.3646956608077978E-2</v>
      </c>
    </row>
    <row r="28" spans="1:7" x14ac:dyDescent="0.25">
      <c r="A28" s="1">
        <f>CALCULATIONS!A23</f>
        <v>430</v>
      </c>
      <c r="B28" s="36">
        <f>PI()*CALCULATIONS!L23</f>
        <v>4.2260681694419149E-2</v>
      </c>
      <c r="C28" s="31">
        <f t="shared" si="0"/>
        <v>2.5797894901742138E-2</v>
      </c>
      <c r="D28" s="30">
        <f t="shared" si="1"/>
        <v>6.8058576596161283E-2</v>
      </c>
      <c r="E28" s="31">
        <f t="shared" si="2"/>
        <v>4.2081765385463196E-2</v>
      </c>
      <c r="F28" s="31">
        <f t="shared" si="2"/>
        <v>4.226066465470503E-2</v>
      </c>
      <c r="G28" s="31">
        <f t="shared" si="2"/>
        <v>4.2280898568886435E-2</v>
      </c>
    </row>
    <row r="29" spans="1:7" x14ac:dyDescent="0.25">
      <c r="A29" s="1">
        <f>CALCULATIONS!A24</f>
        <v>432</v>
      </c>
      <c r="B29" s="36">
        <f>PI()*CALCULATIONS!L24</f>
        <v>4.1117745654436808E-2</v>
      </c>
      <c r="C29" s="31">
        <f t="shared" si="0"/>
        <v>2.5705188992496037E-2</v>
      </c>
      <c r="D29" s="30">
        <f t="shared" si="1"/>
        <v>6.6822934646932841E-2</v>
      </c>
      <c r="E29" s="31">
        <f t="shared" si="2"/>
        <v>4.0940479964226444E-2</v>
      </c>
      <c r="F29" s="31">
        <f t="shared" si="2"/>
        <v>4.1117728675955673E-2</v>
      </c>
      <c r="G29" s="31">
        <f t="shared" si="2"/>
        <v>4.1137889878645736E-2</v>
      </c>
    </row>
    <row r="30" spans="1:7" x14ac:dyDescent="0.25">
      <c r="A30" s="1">
        <f>CALCULATIONS!A25</f>
        <v>434</v>
      </c>
      <c r="B30" s="36">
        <f>PI()*CALCULATIONS!L25</f>
        <v>3.9723266459183733E-2</v>
      </c>
      <c r="C30" s="31">
        <f t="shared" si="0"/>
        <v>2.5613242127721737E-2</v>
      </c>
      <c r="D30" s="30">
        <f t="shared" si="1"/>
        <v>6.533650858690547E-2</v>
      </c>
      <c r="E30" s="31">
        <f t="shared" si="2"/>
        <v>3.9547634238079304E-2</v>
      </c>
      <c r="F30" s="31">
        <f t="shared" si="2"/>
        <v>3.972324954143424E-2</v>
      </c>
      <c r="G30" s="31">
        <f t="shared" si="2"/>
        <v>3.9743338627969929E-2</v>
      </c>
    </row>
    <row r="31" spans="1:7" x14ac:dyDescent="0.25">
      <c r="A31" s="1">
        <f>CALCULATIONS!A26</f>
        <v>436</v>
      </c>
      <c r="B31" s="36">
        <f>PI()*CALCULATIONS!L26</f>
        <v>3.8654550949036866E-2</v>
      </c>
      <c r="C31" s="31">
        <f t="shared" si="0"/>
        <v>2.5522044637489708E-2</v>
      </c>
      <c r="D31" s="30">
        <f t="shared" si="1"/>
        <v>6.417659558652658E-2</v>
      </c>
      <c r="E31" s="31">
        <f t="shared" si="2"/>
        <v>3.8480535295574533E-2</v>
      </c>
      <c r="F31" s="31">
        <f t="shared" si="2"/>
        <v>3.8654534091524043E-2</v>
      </c>
      <c r="G31" s="31">
        <f t="shared" si="2"/>
        <v>3.8674551649657982E-2</v>
      </c>
    </row>
    <row r="32" spans="1:7" x14ac:dyDescent="0.25">
      <c r="A32" s="1">
        <f>CALCULATIONS!A27</f>
        <v>438</v>
      </c>
      <c r="B32" s="36">
        <f>PI()*CALCULATIONS!L27</f>
        <v>3.7404043822714297E-2</v>
      </c>
      <c r="C32" s="31">
        <f t="shared" si="0"/>
        <v>2.5431587018676396E-2</v>
      </c>
      <c r="D32" s="30">
        <f t="shared" si="1"/>
        <v>6.2835630841390697E-2</v>
      </c>
      <c r="E32" s="31">
        <f t="shared" si="2"/>
        <v>3.7231628078948129E-2</v>
      </c>
      <c r="F32" s="31">
        <f t="shared" si="2"/>
        <v>3.7404027024949452E-2</v>
      </c>
      <c r="G32" s="31">
        <f t="shared" si="2"/>
        <v>3.742397363498072E-2</v>
      </c>
    </row>
    <row r="33" spans="1:7" x14ac:dyDescent="0.25">
      <c r="A33" s="1">
        <f>CALCULATIONS!A28</f>
        <v>440</v>
      </c>
      <c r="B33" s="36">
        <f>PI()*CALCULATIONS!L28</f>
        <v>3.6492201633916838E-2</v>
      </c>
      <c r="C33" s="31">
        <f t="shared" si="0"/>
        <v>2.5341859931341349E-2</v>
      </c>
      <c r="D33" s="30">
        <f t="shared" si="1"/>
        <v>6.1834061565258183E-2</v>
      </c>
      <c r="E33" s="31">
        <f t="shared" si="2"/>
        <v>3.6321369380868614E-2</v>
      </c>
      <c r="F33" s="31">
        <f t="shared" si="2"/>
        <v>3.6492184895417432E-2</v>
      </c>
      <c r="G33" s="31">
        <f t="shared" si="2"/>
        <v>3.6512061130319587E-2</v>
      </c>
    </row>
    <row r="34" spans="1:7" x14ac:dyDescent="0.25">
      <c r="A34" s="1">
        <f>CALCULATIONS!A29</f>
        <v>442</v>
      </c>
      <c r="B34" s="36">
        <f>PI()*CALCULATIONS!L29</f>
        <v>3.5542594031781997E-2</v>
      </c>
      <c r="C34" s="31">
        <f t="shared" si="0"/>
        <v>2.525285419519898E-2</v>
      </c>
      <c r="D34" s="30">
        <f t="shared" si="1"/>
        <v>6.0795448226980978E-2</v>
      </c>
      <c r="E34" s="31">
        <f t="shared" si="2"/>
        <v>3.5373329084995617E-2</v>
      </c>
      <c r="F34" s="31">
        <f t="shared" si="2"/>
        <v>3.5542577352071593E-2</v>
      </c>
      <c r="G34" s="31">
        <f t="shared" si="2"/>
        <v>3.5562383777617834E-2</v>
      </c>
    </row>
    <row r="35" spans="1:7" x14ac:dyDescent="0.25">
      <c r="A35" s="1">
        <f>CALCULATIONS!A30</f>
        <v>444</v>
      </c>
      <c r="B35" s="36">
        <f>PI()*CALCULATIONS!L30</f>
        <v>3.4611311582512225E-2</v>
      </c>
      <c r="C35" s="31">
        <f t="shared" si="0"/>
        <v>2.5164560786182275E-2</v>
      </c>
      <c r="D35" s="30">
        <f t="shared" si="1"/>
        <v>5.9775872368694499E-2</v>
      </c>
      <c r="E35" s="31">
        <f t="shared" si="2"/>
        <v>3.4443597987709962E-2</v>
      </c>
      <c r="F35" s="31">
        <f t="shared" si="2"/>
        <v>3.4611294961120316E-2</v>
      </c>
      <c r="G35" s="31">
        <f t="shared" si="2"/>
        <v>3.4631032136006087E-2</v>
      </c>
    </row>
    <row r="36" spans="1:7" x14ac:dyDescent="0.25">
      <c r="A36" s="1">
        <f>CALCULATIONS!A31</f>
        <v>446</v>
      </c>
      <c r="B36" s="36">
        <f>PI()*CALCULATIONS!L31</f>
        <v>3.3731227238851413E-2</v>
      </c>
      <c r="C36" s="31">
        <f t="shared" si="0"/>
        <v>2.5076970833095492E-2</v>
      </c>
      <c r="D36" s="30">
        <f t="shared" si="1"/>
        <v>5.8808198071946906E-2</v>
      </c>
      <c r="E36" s="31">
        <f t="shared" si="2"/>
        <v>3.3565049267689238E-2</v>
      </c>
      <c r="F36" s="31">
        <f t="shared" si="2"/>
        <v>3.3731210675313358E-2</v>
      </c>
      <c r="G36" s="31">
        <f t="shared" si="2"/>
        <v>3.3750879151276184E-2</v>
      </c>
    </row>
    <row r="37" spans="1:7" x14ac:dyDescent="0.25">
      <c r="A37" s="1">
        <f>CALCULATIONS!A32</f>
        <v>448</v>
      </c>
      <c r="B37" s="36">
        <f>PI()*CALCULATIONS!L32</f>
        <v>3.2920110940359237E-2</v>
      </c>
      <c r="C37" s="31">
        <f t="shared" si="0"/>
        <v>2.4990075614353208E-2</v>
      </c>
      <c r="D37" s="30">
        <f t="shared" si="1"/>
        <v>5.7910186554712445E-2</v>
      </c>
      <c r="E37" s="31">
        <f t="shared" si="2"/>
        <v>3.2755453086278474E-2</v>
      </c>
      <c r="F37" s="31">
        <f t="shared" si="2"/>
        <v>3.2920094434216167E-2</v>
      </c>
      <c r="G37" s="31">
        <f t="shared" si="2"/>
        <v>3.2939694756153035E-2</v>
      </c>
    </row>
    <row r="38" spans="1:7" x14ac:dyDescent="0.25">
      <c r="A38" s="1">
        <f>CALCULATIONS!A33</f>
        <v>450</v>
      </c>
      <c r="B38" s="36">
        <f>PI()*CALCULATIONS!L33</f>
        <v>3.2191938651134046E-2</v>
      </c>
      <c r="C38" s="31">
        <f t="shared" si="0"/>
        <v>2.4903866554803145E-2</v>
      </c>
      <c r="D38" s="30">
        <f t="shared" si="1"/>
        <v>5.709580520593719E-2</v>
      </c>
      <c r="E38" s="31">
        <f t="shared" si="2"/>
        <v>3.2028785625306852E-2</v>
      </c>
      <c r="F38" s="31">
        <f t="shared" si="2"/>
        <v>3.2191922201932746E-2</v>
      </c>
      <c r="G38" s="31">
        <f t="shared" si="2"/>
        <v>3.2211454908014935E-2</v>
      </c>
    </row>
    <row r="39" spans="1:7" x14ac:dyDescent="0.25">
      <c r="A39" s="1">
        <f>CALCULATIONS!A34</f>
        <v>452</v>
      </c>
      <c r="B39" s="36">
        <f>PI()*CALCULATIONS!L34</f>
        <v>3.1433788050669181E-2</v>
      </c>
      <c r="C39" s="31">
        <f t="shared" si="0"/>
        <v>2.4818335222630227E-2</v>
      </c>
      <c r="D39" s="30">
        <f t="shared" si="1"/>
        <v>5.6252123273299412E-2</v>
      </c>
      <c r="E39" s="31">
        <f t="shared" si="2"/>
        <v>3.1272124778035232E-2</v>
      </c>
      <c r="F39" s="31">
        <f t="shared" si="2"/>
        <v>3.1433771657962004E-2</v>
      </c>
      <c r="G39" s="31">
        <f t="shared" si="2"/>
        <v>3.1453237279747526E-2</v>
      </c>
    </row>
    <row r="40" spans="1:7" x14ac:dyDescent="0.25">
      <c r="A40" s="1">
        <f>CALCULATIONS!A35</f>
        <v>454</v>
      </c>
      <c r="B40" s="36">
        <f>PI()*CALCULATIONS!L35</f>
        <v>3.0688623208174448E-2</v>
      </c>
      <c r="C40" s="31">
        <f t="shared" si="0"/>
        <v>2.4733473326339444E-2</v>
      </c>
      <c r="D40" s="30">
        <f t="shared" si="1"/>
        <v>5.5422096534513896E-2</v>
      </c>
      <c r="E40" s="31">
        <f t="shared" si="2"/>
        <v>3.0528434823566465E-2</v>
      </c>
      <c r="F40" s="31">
        <f t="shared" si="2"/>
        <v>3.0688606871519229E-2</v>
      </c>
      <c r="G40" s="31">
        <f t="shared" si="2"/>
        <v>3.0708005934062869E-2</v>
      </c>
    </row>
    <row r="41" spans="1:7" x14ac:dyDescent="0.25">
      <c r="A41" s="1">
        <f>CALCULATIONS!A36</f>
        <v>456</v>
      </c>
      <c r="B41" s="36">
        <f>PI()*CALCULATIONS!L36</f>
        <v>2.9980511579091481E-2</v>
      </c>
      <c r="C41" s="31">
        <f t="shared" si="0"/>
        <v>2.4649272711815141E-2</v>
      </c>
      <c r="D41" s="30">
        <f t="shared" si="1"/>
        <v>5.4629784290906619E-2</v>
      </c>
      <c r="E41" s="31">
        <f t="shared" si="2"/>
        <v>2.9821783423447164E-2</v>
      </c>
      <c r="F41" s="31">
        <f t="shared" si="2"/>
        <v>2.9980495298051427E-2</v>
      </c>
      <c r="G41" s="31">
        <f t="shared" si="2"/>
        <v>2.9999828320012502E-2</v>
      </c>
    </row>
    <row r="42" spans="1:7" x14ac:dyDescent="0.25">
      <c r="A42" s="1">
        <f>CALCULATIONS!A37</f>
        <v>458</v>
      </c>
      <c r="B42" s="36">
        <f>PI()*CALCULATIONS!L37</f>
        <v>2.928047796845119E-2</v>
      </c>
      <c r="C42" s="31">
        <f t="shared" si="0"/>
        <v>2.456572535945465E-2</v>
      </c>
      <c r="D42" s="30">
        <f t="shared" si="1"/>
        <v>5.3846203327905837E-2</v>
      </c>
      <c r="E42" s="31">
        <f t="shared" si="2"/>
        <v>2.912319558510941E-2</v>
      </c>
      <c r="F42" s="31">
        <f t="shared" si="2"/>
        <v>2.9280461742594827E-2</v>
      </c>
      <c r="G42" s="31">
        <f t="shared" si="2"/>
        <v>2.9299729236342682E-2</v>
      </c>
    </row>
    <row r="43" spans="1:7" x14ac:dyDescent="0.25">
      <c r="A43" s="1">
        <f>CALCULATIONS!A38</f>
        <v>460</v>
      </c>
      <c r="B43" s="36">
        <f>PI()*CALCULATIONS!L38</f>
        <v>2.8636535502300043E-2</v>
      </c>
      <c r="C43" s="31">
        <f t="shared" si="0"/>
        <v>2.4482823381373732E-2</v>
      </c>
      <c r="D43" s="30">
        <f t="shared" si="1"/>
        <v>5.3119358883673778E-2</v>
      </c>
      <c r="E43" s="31">
        <f t="shared" si="2"/>
        <v>2.8480684633378831E-2</v>
      </c>
      <c r="F43" s="31">
        <f t="shared" si="2"/>
        <v>2.8636519331201097E-2</v>
      </c>
      <c r="G43" s="31">
        <f t="shared" si="2"/>
        <v>2.8655721802918421E-2</v>
      </c>
    </row>
    <row r="44" spans="1:7" x14ac:dyDescent="0.25">
      <c r="A44" s="1">
        <f>CALCULATIONS!A39</f>
        <v>462</v>
      </c>
      <c r="B44" s="36">
        <f>PI()*CALCULATIONS!L39</f>
        <v>2.7969317791548067E-2</v>
      </c>
      <c r="C44" s="31">
        <f t="shared" si="0"/>
        <v>2.4400559018682152E-2</v>
      </c>
      <c r="D44" s="30">
        <f t="shared" si="1"/>
        <v>5.2369876810230219E-2</v>
      </c>
      <c r="E44" s="31">
        <f t="shared" si="2"/>
        <v>2.7814884374402497E-2</v>
      </c>
      <c r="F44" s="31">
        <f t="shared" si="2"/>
        <v>2.7969301674785382E-2</v>
      </c>
      <c r="G44" s="31">
        <f t="shared" si="2"/>
        <v>2.7988439624569376E-2</v>
      </c>
    </row>
    <row r="45" spans="1:7" x14ac:dyDescent="0.25">
      <c r="A45" s="1">
        <f>CALCULATIONS!A40</f>
        <v>464</v>
      </c>
      <c r="B45" s="36">
        <f>PI()*CALCULATIONS!L40</f>
        <v>2.7313984810998893E-2</v>
      </c>
      <c r="C45" s="31">
        <f t="shared" si="0"/>
        <v>2.4318924638826917E-2</v>
      </c>
      <c r="D45" s="30">
        <f t="shared" si="1"/>
        <v>5.1632909449825806E-2</v>
      </c>
      <c r="E45" s="31">
        <f t="shared" si="2"/>
        <v>2.7160954974756627E-2</v>
      </c>
      <c r="F45" s="31">
        <f t="shared" si="2"/>
        <v>2.7313968748156361E-2</v>
      </c>
      <c r="G45" s="31">
        <f t="shared" si="2"/>
        <v>2.7333042670117831E-2</v>
      </c>
    </row>
    <row r="46" spans="1:7" x14ac:dyDescent="0.25">
      <c r="A46" s="1">
        <f>CALCULATIONS!A41</f>
        <v>466</v>
      </c>
      <c r="B46" s="36">
        <f>PI()*CALCULATIONS!L41</f>
        <v>2.6688149288582461E-2</v>
      </c>
      <c r="C46" s="31">
        <f t="shared" si="0"/>
        <v>2.4237912733001542E-2</v>
      </c>
      <c r="D46" s="30">
        <f t="shared" si="1"/>
        <v>5.0926062021584007E-2</v>
      </c>
      <c r="E46" s="31">
        <f t="shared" si="2"/>
        <v>2.653650935075497E-2</v>
      </c>
      <c r="F46" s="31">
        <f t="shared" si="2"/>
        <v>2.6688133279248943E-2</v>
      </c>
      <c r="G46" s="31">
        <f t="shared" si="2"/>
        <v>2.6707143661609357E-2</v>
      </c>
    </row>
    <row r="47" spans="1:7" x14ac:dyDescent="0.25">
      <c r="A47" s="1">
        <f>CALCULATIONS!A42</f>
        <v>468</v>
      </c>
      <c r="B47" s="36">
        <f>PI()*CALCULATIONS!L42</f>
        <v>2.5947253650925761E-2</v>
      </c>
      <c r="C47" s="31">
        <f t="shared" si="0"/>
        <v>2.4157515913619212E-2</v>
      </c>
      <c r="D47" s="30">
        <f t="shared" si="1"/>
        <v>5.0104769564544974E-2</v>
      </c>
      <c r="E47" s="31">
        <f t="shared" si="2"/>
        <v>2.5796990114093234E-2</v>
      </c>
      <c r="F47" s="31">
        <f t="shared" si="2"/>
        <v>2.5947237694694973E-2</v>
      </c>
      <c r="G47" s="31">
        <f t="shared" si="2"/>
        <v>2.5966185019881537E-2</v>
      </c>
    </row>
    <row r="48" spans="1:7" x14ac:dyDescent="0.25">
      <c r="A48" s="1">
        <f>CALCULATIONS!A43</f>
        <v>470</v>
      </c>
      <c r="B48" s="36">
        <f>PI()*CALCULATIONS!L43</f>
        <v>2.5371566616149879E-2</v>
      </c>
      <c r="C48" s="31">
        <f t="shared" si="0"/>
        <v>2.4077726911848112E-2</v>
      </c>
      <c r="D48" s="30">
        <f t="shared" si="1"/>
        <v>4.9449293527997991E-2</v>
      </c>
      <c r="E48" s="31">
        <f t="shared" si="2"/>
        <v>2.5222666164717959E-2</v>
      </c>
      <c r="F48" s="31">
        <f t="shared" si="2"/>
        <v>2.5371550712620358E-2</v>
      </c>
      <c r="G48" s="31">
        <f t="shared" si="2"/>
        <v>2.5390435457359153E-2</v>
      </c>
    </row>
    <row r="49" spans="1:7" x14ac:dyDescent="0.25">
      <c r="A49" s="1">
        <f>CALCULATIONS!A44</f>
        <v>472</v>
      </c>
      <c r="B49" s="36">
        <f>PI()*CALCULATIONS!L44</f>
        <v>2.4661242876923856E-2</v>
      </c>
      <c r="C49" s="31">
        <f t="shared" si="0"/>
        <v>2.3998538575207121E-2</v>
      </c>
      <c r="D49" s="30">
        <f t="shared" si="1"/>
        <v>4.8659781452130978E-2</v>
      </c>
      <c r="E49" s="31">
        <f t="shared" si="2"/>
        <v>2.4513692373950357E-2</v>
      </c>
      <c r="F49" s="31">
        <f t="shared" si="2"/>
        <v>2.4661227025698861E-2</v>
      </c>
      <c r="G49" s="31">
        <f t="shared" si="2"/>
        <v>2.4680049661106103E-2</v>
      </c>
    </row>
    <row r="50" spans="1:7" x14ac:dyDescent="0.25">
      <c r="A50" s="1">
        <f>CALCULATIONS!A45</f>
        <v>474</v>
      </c>
      <c r="B50" s="36">
        <f>PI()*CALCULATIONS!L45</f>
        <v>2.3964900613759488E-2</v>
      </c>
      <c r="C50" s="31">
        <f t="shared" si="0"/>
        <v>2.3919943865220086E-2</v>
      </c>
      <c r="D50" s="30">
        <f t="shared" si="1"/>
        <v>4.7884844478979574E-2</v>
      </c>
      <c r="E50" s="31">
        <f t="shared" si="2"/>
        <v>2.3818687097849237E-2</v>
      </c>
      <c r="F50" s="31">
        <f t="shared" si="2"/>
        <v>2.3964884814446925E-2</v>
      </c>
      <c r="G50" s="31">
        <f t="shared" si="2"/>
        <v>2.3983645806118385E-2</v>
      </c>
    </row>
    <row r="51" spans="1:7" x14ac:dyDescent="0.25">
      <c r="A51" s="1">
        <f>CALCULATIONS!A46</f>
        <v>476</v>
      </c>
      <c r="B51" s="36">
        <f>PI()*CALCULATIONS!L46</f>
        <v>2.3296078516411772E-2</v>
      </c>
      <c r="C51" s="31">
        <f t="shared" si="0"/>
        <v>2.3841935855127061E-2</v>
      </c>
      <c r="D51" s="30">
        <f t="shared" si="1"/>
        <v>4.7138014371538833E-2</v>
      </c>
      <c r="E51" s="31">
        <f t="shared" si="2"/>
        <v>2.3151189198677886E-2</v>
      </c>
      <c r="F51" s="31">
        <f t="shared" si="2"/>
        <v>2.3296062768624115E-2</v>
      </c>
      <c r="G51" s="31">
        <f t="shared" si="2"/>
        <v>2.3314762576722745E-2</v>
      </c>
    </row>
    <row r="52" spans="1:7" x14ac:dyDescent="0.25">
      <c r="A52" s="1">
        <f>CALCULATIONS!A47</f>
        <v>478</v>
      </c>
      <c r="B52" s="36">
        <f>PI()*CALCULATIONS!L47</f>
        <v>2.2552330042222513E-2</v>
      </c>
      <c r="C52" s="31">
        <f t="shared" si="0"/>
        <v>2.3764507727650937E-2</v>
      </c>
      <c r="D52" s="30">
        <f t="shared" si="1"/>
        <v>4.6316837769873449E-2</v>
      </c>
      <c r="E52" s="31">
        <f t="shared" si="2"/>
        <v>2.2408752303312435E-2</v>
      </c>
      <c r="F52" s="31">
        <f t="shared" si="2"/>
        <v>2.2552314345576748E-2</v>
      </c>
      <c r="G52" s="31">
        <f t="shared" si="2"/>
        <v>2.2570953424918536E-2</v>
      </c>
    </row>
    <row r="53" spans="1:7" x14ac:dyDescent="0.25">
      <c r="A53" s="1">
        <f>CALCULATIONS!A48</f>
        <v>480</v>
      </c>
      <c r="B53" s="36">
        <f>PI()*CALCULATIONS!L48</f>
        <v>2.1858782613918746E-2</v>
      </c>
      <c r="C53" s="31">
        <f t="shared" si="0"/>
        <v>2.368765277281774E-2</v>
      </c>
      <c r="D53" s="30">
        <f t="shared" si="1"/>
        <v>4.5546435386736486E-2</v>
      </c>
      <c r="E53" s="31">
        <f t="shared" si="2"/>
        <v>2.1716504001103365E-2</v>
      </c>
      <c r="F53" s="31">
        <f t="shared" si="2"/>
        <v>2.1858766968036288E-2</v>
      </c>
      <c r="G53" s="31">
        <f t="shared" si="2"/>
        <v>2.1877345768174423E-2</v>
      </c>
    </row>
    <row r="54" spans="1:7" x14ac:dyDescent="0.25">
      <c r="A54" s="1">
        <f>CALCULATIONS!A49</f>
        <v>482</v>
      </c>
      <c r="B54" s="36">
        <f>PI()*CALCULATIONS!L49</f>
        <v>2.1069449054979421E-2</v>
      </c>
      <c r="C54" s="31">
        <f t="shared" si="0"/>
        <v>2.3611364385829309E-2</v>
      </c>
      <c r="D54" s="30">
        <f t="shared" si="1"/>
        <v>4.468081344080873E-2</v>
      </c>
      <c r="E54" s="31">
        <f t="shared" si="2"/>
        <v>2.0928457279303713E-2</v>
      </c>
      <c r="F54" s="31">
        <f t="shared" si="2"/>
        <v>2.1069433459486048E-2</v>
      </c>
      <c r="G54" s="31">
        <f t="shared" si="2"/>
        <v>2.1087952424793423E-2</v>
      </c>
    </row>
    <row r="55" spans="1:7" x14ac:dyDescent="0.25">
      <c r="A55" s="1">
        <f>CALCULATIONS!A50</f>
        <v>484</v>
      </c>
      <c r="B55" s="36">
        <f>PI()*CALCULATIONS!L50</f>
        <v>2.0330932018195337E-2</v>
      </c>
      <c r="C55" s="31">
        <f t="shared" si="0"/>
        <v>2.3535636064986695E-2</v>
      </c>
      <c r="D55" s="30">
        <f t="shared" si="1"/>
        <v>4.3866568083182032E-2</v>
      </c>
      <c r="E55" s="31">
        <f t="shared" si="2"/>
        <v>2.019121495168897E-2</v>
      </c>
      <c r="F55" s="31">
        <f t="shared" si="2"/>
        <v>2.033091647272112E-2</v>
      </c>
      <c r="G55" s="31">
        <f t="shared" si="2"/>
        <v>2.0349376042471189E-2</v>
      </c>
    </row>
    <row r="56" spans="1:7" x14ac:dyDescent="0.25">
      <c r="A56" s="1">
        <f>CALCULATIONS!A51</f>
        <v>486</v>
      </c>
      <c r="B56" s="36">
        <f>PI()*CALCULATIONS!L51</f>
        <v>1.963464869647407E-2</v>
      </c>
      <c r="C56" s="31">
        <f t="shared" si="0"/>
        <v>2.3460461409662948E-2</v>
      </c>
      <c r="D56" s="30">
        <f t="shared" si="1"/>
        <v>4.3095110106137022E-2</v>
      </c>
      <c r="E56" s="31">
        <f t="shared" si="2"/>
        <v>1.9496194369420475E-2</v>
      </c>
      <c r="F56" s="31">
        <f t="shared" si="2"/>
        <v>1.9634633200653315E-2</v>
      </c>
      <c r="G56" s="31">
        <f t="shared" si="2"/>
        <v>1.9653033809099361E-2</v>
      </c>
    </row>
    <row r="57" spans="1:7" x14ac:dyDescent="0.25">
      <c r="A57" s="1">
        <f>CALCULATIONS!A52</f>
        <v>488</v>
      </c>
      <c r="B57" s="36">
        <f>PI()*CALCULATIONS!L52</f>
        <v>1.8803117173765677E-2</v>
      </c>
      <c r="C57" s="31">
        <f t="shared" si="0"/>
        <v>2.3385834118323932E-2</v>
      </c>
      <c r="D57" s="30">
        <f t="shared" si="1"/>
        <v>4.2188951292089605E-2</v>
      </c>
      <c r="E57" s="31">
        <f t="shared" si="2"/>
        <v>1.8665913772028114E-2</v>
      </c>
      <c r="F57" s="31">
        <f t="shared" si="2"/>
        <v>1.8803101727236829E-2</v>
      </c>
      <c r="G57" s="31">
        <f t="shared" si="2"/>
        <v>1.8821443803689691E-2</v>
      </c>
    </row>
    <row r="58" spans="1:7" x14ac:dyDescent="0.25">
      <c r="A58" s="1">
        <f>CALCULATIONS!A53</f>
        <v>490</v>
      </c>
      <c r="B58" s="36">
        <f>PI()*CALCULATIONS!L53</f>
        <v>1.8036987780581243E-2</v>
      </c>
      <c r="C58" s="31">
        <f t="shared" si="0"/>
        <v>2.3311747986595834E-2</v>
      </c>
      <c r="D58" s="30">
        <f t="shared" si="1"/>
        <v>4.1348735767177076E-2</v>
      </c>
      <c r="E58" s="31">
        <f t="shared" si="2"/>
        <v>1.7901023642984532E-2</v>
      </c>
      <c r="F58" s="31">
        <f t="shared" si="2"/>
        <v>1.8036972382986877E-2</v>
      </c>
      <c r="G58" s="31">
        <f t="shared" si="2"/>
        <v>1.8055256351891154E-2</v>
      </c>
    </row>
    <row r="59" spans="1:7" x14ac:dyDescent="0.25">
      <c r="A59" s="1">
        <f>CALCULATIONS!A54</f>
        <v>492</v>
      </c>
      <c r="B59" s="36">
        <f>PI()*CALCULATIONS!L54</f>
        <v>1.7228413147161316E-2</v>
      </c>
      <c r="C59" s="31">
        <f t="shared" si="0"/>
        <v>2.3238196905378011E-2</v>
      </c>
      <c r="D59" s="30">
        <f t="shared" si="1"/>
        <v>4.0466610052539327E-2</v>
      </c>
      <c r="E59" s="31">
        <f t="shared" si="2"/>
        <v>1.7093676762927695E-2</v>
      </c>
      <c r="F59" s="31">
        <f t="shared" si="2"/>
        <v>1.7228397798148023E-2</v>
      </c>
      <c r="G59" s="31">
        <f t="shared" si="2"/>
        <v>1.7246624079156798E-2</v>
      </c>
    </row>
    <row r="60" spans="1:7" x14ac:dyDescent="0.25">
      <c r="A60" s="1">
        <f>CALCULATIONS!A55</f>
        <v>494</v>
      </c>
      <c r="B60" s="36">
        <f>PI()*CALCULATIONS!L55</f>
        <v>1.6415183270483143E-2</v>
      </c>
      <c r="C60" s="31">
        <f t="shared" si="0"/>
        <v>2.3165174859000052E-2</v>
      </c>
      <c r="D60" s="30">
        <f t="shared" si="1"/>
        <v>3.9580358129483198E-2</v>
      </c>
      <c r="E60" s="31">
        <f t="shared" si="2"/>
        <v>1.6281663276721099E-2</v>
      </c>
      <c r="F60" s="31">
        <f t="shared" si="2"/>
        <v>1.6415167969701494E-2</v>
      </c>
      <c r="G60" s="31">
        <f t="shared" si="2"/>
        <v>1.643333697774961E-2</v>
      </c>
    </row>
    <row r="61" spans="1:7" x14ac:dyDescent="0.25">
      <c r="A61" s="1">
        <f>CALCULATIONS!A56</f>
        <v>496</v>
      </c>
      <c r="B61" s="36">
        <f>PI()*CALCULATIONS!L56</f>
        <v>1.5530335583133593E-2</v>
      </c>
      <c r="C61" s="31">
        <f t="shared" si="0"/>
        <v>2.3092675923421742E-2</v>
      </c>
      <c r="D61" s="30">
        <f t="shared" si="1"/>
        <v>3.8623011506555338E-2</v>
      </c>
      <c r="E61" s="31">
        <f t="shared" si="2"/>
        <v>1.5398020762378249E-2</v>
      </c>
      <c r="F61" s="31">
        <f t="shared" si="2"/>
        <v>1.5530320330238066E-2</v>
      </c>
      <c r="G61" s="31">
        <f t="shared" si="2"/>
        <v>1.5548432475614004E-2</v>
      </c>
    </row>
    <row r="62" spans="1:7" x14ac:dyDescent="0.25">
      <c r="A62" s="1">
        <f>CALCULATIONS!A57</f>
        <v>498</v>
      </c>
      <c r="B62" s="36">
        <f>PI()*CALCULATIONS!L57</f>
        <v>1.4545229110753328E-2</v>
      </c>
      <c r="C62" s="31">
        <f t="shared" si="0"/>
        <v>2.3020694264474797E-2</v>
      </c>
      <c r="D62" s="30">
        <f t="shared" si="1"/>
        <v>3.7565923375228127E-2</v>
      </c>
      <c r="E62" s="31">
        <f t="shared" si="2"/>
        <v>1.4414108388557188E-2</v>
      </c>
      <c r="F62" s="31">
        <f t="shared" si="2"/>
        <v>1.4545213905402254E-2</v>
      </c>
      <c r="G62" s="31">
        <f t="shared" si="2"/>
        <v>1.4563269593818609E-2</v>
      </c>
    </row>
    <row r="63" spans="1:7" x14ac:dyDescent="0.25">
      <c r="A63" s="1">
        <f>CALCULATIONS!A58</f>
        <v>500</v>
      </c>
      <c r="B63" s="36">
        <f>PI()*CALCULATIONS!L58</f>
        <v>1.3610086936047506E-2</v>
      </c>
      <c r="C63" s="31">
        <f t="shared" si="0"/>
        <v>2.2949224136145259E-2</v>
      </c>
      <c r="D63" s="30">
        <f t="shared" si="1"/>
        <v>3.6559311072192763E-2</v>
      </c>
      <c r="E63" s="31">
        <f t="shared" si="2"/>
        <v>1.3480149378620299E-2</v>
      </c>
      <c r="F63" s="31">
        <f t="shared" si="2"/>
        <v>1.3610071777903014E-2</v>
      </c>
      <c r="G63" s="31">
        <f t="shared" si="2"/>
        <v>1.3628071410565646E-2</v>
      </c>
    </row>
    <row r="64" spans="1:7" x14ac:dyDescent="0.25">
      <c r="A64" s="1">
        <f>CALCULATIONS!A59</f>
        <v>502</v>
      </c>
      <c r="B64" s="36">
        <f>PI()*CALCULATIONS!L59</f>
        <v>1.2673645026302253E-2</v>
      </c>
      <c r="C64" s="31">
        <f t="shared" si="0"/>
        <v>2.2878259878895423E-2</v>
      </c>
      <c r="D64" s="30">
        <f t="shared" si="1"/>
        <v>3.5551904905197676E-2</v>
      </c>
      <c r="E64" s="31">
        <f t="shared" si="2"/>
        <v>1.2544879838198721E-2</v>
      </c>
      <c r="F64" s="31">
        <f t="shared" si="2"/>
        <v>1.2673629915030217E-2</v>
      </c>
      <c r="G64" s="31">
        <f t="shared" si="2"/>
        <v>1.2691573888706075E-2</v>
      </c>
    </row>
    <row r="65" spans="1:7" x14ac:dyDescent="0.25">
      <c r="A65" s="1">
        <f>CALCULATIONS!A60</f>
        <v>504</v>
      </c>
      <c r="B65" s="36">
        <f>PI()*CALCULATIONS!L60</f>
        <v>1.1799553045835605E-2</v>
      </c>
      <c r="C65" s="31">
        <f t="shared" si="0"/>
        <v>2.2807795918024228E-2</v>
      </c>
      <c r="D65" s="30">
        <f t="shared" si="1"/>
        <v>3.4607348963859835E-2</v>
      </c>
      <c r="E65" s="31">
        <f t="shared" si="2"/>
        <v>1.1671949567690031E-2</v>
      </c>
      <c r="F65" s="31">
        <f t="shared" si="2"/>
        <v>1.1799537981105578E-2</v>
      </c>
      <c r="G65" s="31">
        <f t="shared" si="2"/>
        <v>1.1817426688189234E-2</v>
      </c>
    </row>
    <row r="66" spans="1:7" x14ac:dyDescent="0.25">
      <c r="A66" s="1">
        <f>CALCULATIONS!A61</f>
        <v>506</v>
      </c>
      <c r="B66" s="36">
        <f>PI()*CALCULATIONS!L61</f>
        <v>1.1017371082707958E-2</v>
      </c>
      <c r="C66" s="31">
        <f t="shared" si="0"/>
        <v>2.2737826762065125E-2</v>
      </c>
      <c r="D66" s="30">
        <f t="shared" si="1"/>
        <v>3.3755197844773085E-2</v>
      </c>
      <c r="E66" s="31">
        <f t="shared" si="2"/>
        <v>1.0890918789014357E-2</v>
      </c>
      <c r="F66" s="31">
        <f t="shared" si="2"/>
        <v>1.1017356064193112E-2</v>
      </c>
      <c r="G66" s="31">
        <f t="shared" si="2"/>
        <v>1.1035189892772055E-2</v>
      </c>
    </row>
    <row r="67" spans="1:7" x14ac:dyDescent="0.25">
      <c r="A67" s="1">
        <f>CALCULATIONS!A62</f>
        <v>508</v>
      </c>
      <c r="B67" s="36">
        <f>PI()*CALCULATIONS!L62</f>
        <v>1.0284400855272701E-2</v>
      </c>
      <c r="C67" s="31">
        <f t="shared" si="0"/>
        <v>2.2668347001220359E-2</v>
      </c>
      <c r="D67" s="30">
        <f t="shared" si="1"/>
        <v>3.2952747856493061E-2</v>
      </c>
      <c r="E67" s="31">
        <f t="shared" si="2"/>
        <v>1.015908935220956E-2</v>
      </c>
      <c r="F67" s="31">
        <f t="shared" si="2"/>
        <v>1.028438588264979E-2</v>
      </c>
      <c r="G67" s="31">
        <f t="shared" si="2"/>
        <v>1.0302165216568467E-2</v>
      </c>
    </row>
    <row r="68" spans="1:7" x14ac:dyDescent="0.25">
      <c r="A68" s="1">
        <f>CALCULATIONS!A63</f>
        <v>510</v>
      </c>
      <c r="B68" s="36">
        <f>PI()*CALCULATIONS!L63</f>
        <v>9.6263274153658707E-3</v>
      </c>
      <c r="C68" s="31">
        <f t="shared" si="0"/>
        <v>2.2599351305830784E-2</v>
      </c>
      <c r="D68" s="30">
        <f t="shared" si="1"/>
        <v>3.2225678721196652E-2</v>
      </c>
      <c r="E68" s="31">
        <f t="shared" si="2"/>
        <v>9.5021464386644029E-3</v>
      </c>
      <c r="F68" s="31">
        <f t="shared" si="2"/>
        <v>9.6263124883151571E-3</v>
      </c>
      <c r="G68" s="31">
        <f t="shared" si="2"/>
        <v>9.6440377072378354E-3</v>
      </c>
    </row>
    <row r="69" spans="1:7" x14ac:dyDescent="0.25">
      <c r="A69" s="1">
        <f>CALCULATIONS!A64</f>
        <v>512</v>
      </c>
      <c r="B69" s="36">
        <f>PI()*CALCULATIONS!L64</f>
        <v>9.0055582176169248E-3</v>
      </c>
      <c r="C69" s="31">
        <f t="shared" si="0"/>
        <v>2.2530834424880134E-2</v>
      </c>
      <c r="D69" s="30">
        <f t="shared" si="1"/>
        <v>3.1536392642497059E-2</v>
      </c>
      <c r="E69" s="31">
        <f t="shared" si="2"/>
        <v>8.8824976304717508E-3</v>
      </c>
      <c r="F69" s="31">
        <f t="shared" si="2"/>
        <v>9.0055433358221561E-3</v>
      </c>
      <c r="G69" s="31">
        <f t="shared" si="2"/>
        <v>9.0232148152946043E-3</v>
      </c>
    </row>
    <row r="70" spans="1:7" x14ac:dyDescent="0.25">
      <c r="A70" s="1">
        <f>CALCULATIONS!A65</f>
        <v>514</v>
      </c>
      <c r="B70" s="36">
        <f>PI()*CALCULATIONS!L65</f>
        <v>8.4676021161995442E-3</v>
      </c>
      <c r="C70" s="31">
        <f t="shared" si="0"/>
        <v>2.2462791184533017E-2</v>
      </c>
      <c r="D70" s="30">
        <f t="shared" si="1"/>
        <v>3.0930393300732561E-2</v>
      </c>
      <c r="E70" s="31">
        <f t="shared" si="2"/>
        <v>8.3456519072208427E-3</v>
      </c>
      <c r="F70" s="31">
        <f t="shared" si="2"/>
        <v>8.4675872793478768E-3</v>
      </c>
      <c r="G70" s="31">
        <f t="shared" si="2"/>
        <v>8.4852053908578973E-3</v>
      </c>
    </row>
    <row r="71" spans="1:7" x14ac:dyDescent="0.25">
      <c r="A71" s="1">
        <f>CALCULATIONS!A66</f>
        <v>516</v>
      </c>
      <c r="B71" s="36">
        <f>PI()*CALCULATIONS!L66</f>
        <v>7.9977486194214176E-3</v>
      </c>
      <c r="C71" s="31">
        <f t="shared" si="0"/>
        <v>2.239521648670556E-2</v>
      </c>
      <c r="D71" s="30">
        <f t="shared" si="1"/>
        <v>3.0392965106126976E-2</v>
      </c>
      <c r="E71" s="31">
        <f t="shared" si="2"/>
        <v>7.8768989006275242E-3</v>
      </c>
      <c r="F71" s="31">
        <f t="shared" si="2"/>
        <v>7.9977338272033717E-3</v>
      </c>
      <c r="G71" s="31">
        <f t="shared" si="2"/>
        <v>8.0152989382402187E-3</v>
      </c>
    </row>
    <row r="72" spans="1:7" x14ac:dyDescent="0.25">
      <c r="A72" s="1">
        <f>CALCULATIONS!A67</f>
        <v>518</v>
      </c>
      <c r="B72" s="36">
        <f>PI()*CALCULATIONS!L67</f>
        <v>7.5670262021196215E-3</v>
      </c>
      <c r="C72" s="31">
        <f t="shared" si="0"/>
        <v>2.2328105307668034E-2</v>
      </c>
      <c r="D72" s="30">
        <f t="shared" si="1"/>
        <v>2.9895131509787655E-2</v>
      </c>
      <c r="E72" s="31">
        <f t="shared" si="2"/>
        <v>7.4472672069692269E-3</v>
      </c>
      <c r="F72" s="31">
        <f t="shared" si="2"/>
        <v>7.5670114542290418E-3</v>
      </c>
      <c r="G72" s="31">
        <f t="shared" si="2"/>
        <v>7.5845239283417361E-3</v>
      </c>
    </row>
    <row r="73" spans="1:7" x14ac:dyDescent="0.25">
      <c r="A73" s="1">
        <f>CALCULATIONS!A68</f>
        <v>520</v>
      </c>
      <c r="B73" s="36">
        <f>PI()*CALCULATIONS!L68</f>
        <v>7.3872427574948113E-3</v>
      </c>
      <c r="C73" s="31">
        <f t="shared" si="0"/>
        <v>2.2261452696678469E-2</v>
      </c>
      <c r="D73" s="30">
        <f t="shared" si="1"/>
        <v>2.9648695454173282E-2</v>
      </c>
      <c r="E73" s="31">
        <f t="shared" si="2"/>
        <v>7.2685648389576862E-3</v>
      </c>
      <c r="F73" s="31">
        <f t="shared" si="2"/>
        <v>7.3872280536288124E-3</v>
      </c>
      <c r="G73" s="31">
        <f t="shared" si="2"/>
        <v>7.4046882504833836E-3</v>
      </c>
    </row>
    <row r="74" spans="1:7" x14ac:dyDescent="0.25">
      <c r="A74" s="1">
        <f>CALCULATIONS!A69</f>
        <v>522</v>
      </c>
      <c r="B74" s="36">
        <f>PI()*CALCULATIONS!L69</f>
        <v>7.1786126430330296E-3</v>
      </c>
      <c r="C74" s="31">
        <f t="shared" si="0"/>
        <v>2.2195253774646539E-2</v>
      </c>
      <c r="D74" s="30">
        <f t="shared" si="1"/>
        <v>2.937386641767957E-2</v>
      </c>
      <c r="E74" s="31">
        <f t="shared" si="2"/>
        <v>7.0610062716984917E-3</v>
      </c>
      <c r="F74" s="31">
        <f t="shared" si="2"/>
        <v>7.1785979828919433E-3</v>
      </c>
      <c r="G74" s="31">
        <f t="shared" si="2"/>
        <v>7.1960062583276384E-3</v>
      </c>
    </row>
    <row r="75" spans="1:7" x14ac:dyDescent="0.25">
      <c r="A75" s="1">
        <f>CALCULATIONS!A70</f>
        <v>524</v>
      </c>
      <c r="B75" s="36">
        <f>PI()*CALCULATIONS!L70</f>
        <v>7.2042824687620381E-3</v>
      </c>
      <c r="C75" s="31">
        <f t="shared" si="0"/>
        <v>2.2129503732826926E-2</v>
      </c>
      <c r="D75" s="30">
        <f t="shared" si="1"/>
        <v>2.9333786201588965E-2</v>
      </c>
      <c r="E75" s="31">
        <f t="shared" si="2"/>
        <v>7.0877382309842384E-3</v>
      </c>
      <c r="F75" s="31">
        <f t="shared" si="2"/>
        <v>7.2042678520493793E-3</v>
      </c>
      <c r="G75" s="31">
        <f t="shared" si="2"/>
        <v>7.2216245581338268E-3</v>
      </c>
    </row>
    <row r="76" spans="1:7" x14ac:dyDescent="0.25">
      <c r="A76" s="1">
        <f>CALCULATIONS!A71</f>
        <v>526</v>
      </c>
      <c r="B76" s="36">
        <f>PI()*CALCULATIONS!L71</f>
        <v>6.8281045331343385E-3</v>
      </c>
      <c r="C76" s="31">
        <f t="shared" si="0"/>
        <v>2.2064197831541368E-2</v>
      </c>
      <c r="D76" s="30">
        <f t="shared" si="1"/>
        <v>2.8892302364675708E-2</v>
      </c>
      <c r="E76" s="31">
        <f t="shared" si="2"/>
        <v>6.7126131292135315E-3</v>
      </c>
      <c r="F76" s="31">
        <f t="shared" si="2"/>
        <v>6.8280899595567421E-3</v>
      </c>
      <c r="G76" s="31">
        <f t="shared" si="2"/>
        <v>6.8453954446401309E-3</v>
      </c>
    </row>
    <row r="77" spans="1:7" x14ac:dyDescent="0.25">
      <c r="A77" s="1">
        <f>CALCULATIONS!A72</f>
        <v>528</v>
      </c>
      <c r="B77" s="36">
        <f>PI()*CALCULATIONS!L72</f>
        <v>6.8034547985418529E-3</v>
      </c>
      <c r="C77" s="31">
        <f t="shared" si="0"/>
        <v>2.1999331398928717E-2</v>
      </c>
      <c r="D77" s="30">
        <f t="shared" si="1"/>
        <v>2.8802786197470572E-2</v>
      </c>
      <c r="E77" s="31">
        <f t="shared" si="2"/>
        <v>6.6890070409408066E-3</v>
      </c>
      <c r="F77" s="31">
        <f t="shared" si="2"/>
        <v>6.8034402678090501E-3</v>
      </c>
      <c r="G77" s="31">
        <f t="shared" si="2"/>
        <v>6.8206948765773094E-3</v>
      </c>
    </row>
    <row r="78" spans="1:7" x14ac:dyDescent="0.25">
      <c r="A78" s="1">
        <f>CALCULATIONS!A73</f>
        <v>530</v>
      </c>
      <c r="B78" s="36">
        <f>PI()*CALCULATIONS!L73</f>
        <v>6.6285094407531079E-3</v>
      </c>
      <c r="C78" s="31">
        <f t="shared" ref="C78:C141" si="3">$B$9*POWER(A78/865,-$B$11)</f>
        <v>2.1934899829722198E-2</v>
      </c>
      <c r="D78" s="30">
        <f t="shared" ref="D78:D141" si="4">B78+C78</f>
        <v>2.8563409270475307E-2</v>
      </c>
      <c r="E78" s="31">
        <f t="shared" ref="E78:G109" si="5">$D78-E$9*POWER($A78/865,-E$11)</f>
        <v>6.5150962523478628E-3</v>
      </c>
      <c r="F78" s="31">
        <f t="shared" si="5"/>
        <v>6.6284949525778659E-3</v>
      </c>
      <c r="G78" s="31">
        <f t="shared" si="5"/>
        <v>6.6456990261049009E-3</v>
      </c>
    </row>
    <row r="79" spans="1:7" x14ac:dyDescent="0.25">
      <c r="A79" s="1">
        <f>CALCULATIONS!A74</f>
        <v>532</v>
      </c>
      <c r="B79" s="36">
        <f>PI()*CALCULATIONS!L74</f>
        <v>6.3197931558708412E-3</v>
      </c>
      <c r="C79" s="31">
        <f t="shared" si="3"/>
        <v>2.1870898584053278E-2</v>
      </c>
      <c r="D79" s="30">
        <f t="shared" si="4"/>
        <v>2.8190691739924119E-2</v>
      </c>
      <c r="E79" s="31">
        <f t="shared" si="5"/>
        <v>6.2074055682350068E-3</v>
      </c>
      <c r="F79" s="31">
        <f t="shared" si="5"/>
        <v>6.319778709968929E-3</v>
      </c>
      <c r="G79" s="31">
        <f t="shared" si="5"/>
        <v>6.3369325857679203E-3</v>
      </c>
    </row>
    <row r="80" spans="1:7" x14ac:dyDescent="0.25">
      <c r="A80" s="1">
        <f>CALCULATIONS!A75</f>
        <v>534</v>
      </c>
      <c r="B80" s="36">
        <f>PI()*CALCULATIONS!L75</f>
        <v>6.0962561718022239E-3</v>
      </c>
      <c r="C80" s="31">
        <f t="shared" si="3"/>
        <v>2.18073231862814E-2</v>
      </c>
      <c r="D80" s="30">
        <f t="shared" si="4"/>
        <v>2.7903579358083623E-2</v>
      </c>
      <c r="E80" s="31">
        <f t="shared" si="5"/>
        <v>5.9848853235241195E-3</v>
      </c>
      <c r="F80" s="31">
        <f t="shared" si="5"/>
        <v>6.0962417678923665E-3</v>
      </c>
      <c r="G80" s="31">
        <f t="shared" si="5"/>
        <v>6.1133457799661395E-3</v>
      </c>
    </row>
    <row r="81" spans="1:7" x14ac:dyDescent="0.25">
      <c r="A81" s="1">
        <f>CALCULATIONS!A76</f>
        <v>536</v>
      </c>
      <c r="B81" s="36">
        <f>PI()*CALCULATIONS!L76</f>
        <v>5.8474189435441326E-3</v>
      </c>
      <c r="C81" s="31">
        <f t="shared" si="3"/>
        <v>2.1744169223848933E-2</v>
      </c>
      <c r="D81" s="30">
        <f t="shared" si="4"/>
        <v>2.7591588167393065E-2</v>
      </c>
      <c r="E81" s="31">
        <f t="shared" si="5"/>
        <v>5.7370560785758931E-3</v>
      </c>
      <c r="F81" s="31">
        <f t="shared" si="5"/>
        <v>5.8474045813479668E-3</v>
      </c>
      <c r="G81" s="31">
        <f t="shared" si="5"/>
        <v>5.8644590602384729E-3</v>
      </c>
    </row>
    <row r="82" spans="1:7" x14ac:dyDescent="0.25">
      <c r="A82" s="1">
        <f>CALCULATIONS!A77</f>
        <v>538</v>
      </c>
      <c r="B82" s="36">
        <f>PI()*CALCULATIONS!L77</f>
        <v>5.6583759200198253E-3</v>
      </c>
      <c r="C82" s="31">
        <f t="shared" si="3"/>
        <v>2.1681432346160753E-2</v>
      </c>
      <c r="D82" s="30">
        <f t="shared" si="4"/>
        <v>2.7339808266180578E-2</v>
      </c>
      <c r="E82" s="31">
        <f t="shared" si="5"/>
        <v>5.5490123860579138E-3</v>
      </c>
      <c r="F82" s="31">
        <f t="shared" si="5"/>
        <v>5.6583615992618665E-3</v>
      </c>
      <c r="G82" s="31">
        <f t="shared" si="5"/>
        <v>5.6753668720987797E-3</v>
      </c>
    </row>
    <row r="83" spans="1:7" x14ac:dyDescent="0.25">
      <c r="A83" s="1">
        <f>CALCULATIONS!A78</f>
        <v>540</v>
      </c>
      <c r="B83" s="36">
        <f>PI()*CALCULATIONS!L78</f>
        <v>5.4242197291087041E-3</v>
      </c>
      <c r="C83" s="31">
        <f t="shared" si="3"/>
        <v>2.1619108263487775E-2</v>
      </c>
      <c r="D83" s="30">
        <f t="shared" si="4"/>
        <v>2.704332799259648E-2</v>
      </c>
      <c r="E83" s="31">
        <f t="shared" si="5"/>
        <v>5.3158469760049842E-3</v>
      </c>
      <c r="F83" s="31">
        <f t="shared" si="5"/>
        <v>5.4242054495162971E-3</v>
      </c>
      <c r="G83" s="31">
        <f t="shared" si="5"/>
        <v>5.4411618400647503E-3</v>
      </c>
    </row>
    <row r="84" spans="1:7" x14ac:dyDescent="0.25">
      <c r="A84" s="1">
        <f>CALCULATIONS!A79</f>
        <v>542</v>
      </c>
      <c r="B84" s="36">
        <f>PI()*CALCULATIONS!L79</f>
        <v>5.2744140799379354E-3</v>
      </c>
      <c r="C84" s="31">
        <f t="shared" si="3"/>
        <v>2.1557192745893874E-2</v>
      </c>
      <c r="D84" s="30">
        <f t="shared" si="4"/>
        <v>2.683160682583181E-2</v>
      </c>
      <c r="E84" s="31">
        <f t="shared" si="5"/>
        <v>5.1670236581406945E-3</v>
      </c>
      <c r="F84" s="31">
        <f t="shared" si="5"/>
        <v>5.2743998412412146E-3</v>
      </c>
      <c r="G84" s="31">
        <f t="shared" si="5"/>
        <v>5.2913076699487027E-3</v>
      </c>
    </row>
    <row r="85" spans="1:7" x14ac:dyDescent="0.25">
      <c r="A85" s="1">
        <f>CALCULATIONS!A80</f>
        <v>544</v>
      </c>
      <c r="B85" s="36">
        <f>PI()*CALCULATIONS!L80</f>
        <v>4.9789564459311805E-3</v>
      </c>
      <c r="C85" s="31">
        <f t="shared" si="3"/>
        <v>2.1495681622185604E-2</v>
      </c>
      <c r="D85" s="30">
        <f t="shared" si="4"/>
        <v>2.6474638068116785E-2</v>
      </c>
      <c r="E85" s="31">
        <f t="shared" si="5"/>
        <v>4.8725400049554196E-3</v>
      </c>
      <c r="F85" s="31">
        <f t="shared" si="5"/>
        <v>4.9789422478630461E-3</v>
      </c>
      <c r="G85" s="31">
        <f t="shared" si="5"/>
        <v>4.99580183190549E-3</v>
      </c>
    </row>
    <row r="86" spans="1:7" x14ac:dyDescent="0.25">
      <c r="A86" s="1">
        <f>CALCULATIONS!A81</f>
        <v>546</v>
      </c>
      <c r="B86" s="36">
        <f>PI()*CALCULATIONS!L81</f>
        <v>4.768152346267443E-3</v>
      </c>
      <c r="C86" s="31">
        <f t="shared" si="3"/>
        <v>2.1434570778884134E-2</v>
      </c>
      <c r="D86" s="30">
        <f t="shared" si="4"/>
        <v>2.6202723125151577E-2</v>
      </c>
      <c r="E86" s="31">
        <f t="shared" si="5"/>
        <v>4.6627016331937735E-3</v>
      </c>
      <c r="F86" s="31">
        <f t="shared" si="5"/>
        <v>4.7681381885635067E-3</v>
      </c>
      <c r="G86" s="31">
        <f t="shared" si="5"/>
        <v>4.7849498418905331E-3</v>
      </c>
    </row>
    <row r="87" spans="1:7" x14ac:dyDescent="0.25">
      <c r="A87" s="1">
        <f>CALCULATIONS!A82</f>
        <v>548</v>
      </c>
      <c r="B87" s="36">
        <f>PI()*CALCULATIONS!L82</f>
        <v>4.5468454862235205E-3</v>
      </c>
      <c r="C87" s="31">
        <f t="shared" si="3"/>
        <v>2.1373856159218871E-2</v>
      </c>
      <c r="D87" s="30">
        <f t="shared" si="4"/>
        <v>2.5920701645442391E-2</v>
      </c>
      <c r="E87" s="31">
        <f t="shared" si="5"/>
        <v>4.4423523442249993E-3</v>
      </c>
      <c r="F87" s="31">
        <f t="shared" si="5"/>
        <v>4.5468313686220715E-3</v>
      </c>
      <c r="G87" s="31">
        <f t="shared" si="5"/>
        <v>4.5635954020014809E-3</v>
      </c>
    </row>
    <row r="88" spans="1:7" x14ac:dyDescent="0.25">
      <c r="A88" s="1">
        <f>CALCULATIONS!A83</f>
        <v>550</v>
      </c>
      <c r="B88" s="36">
        <f>PI()*CALCULATIONS!L83</f>
        <v>4.3123176983972614E-3</v>
      </c>
      <c r="C88" s="31">
        <f t="shared" si="3"/>
        <v>2.1313533762142244E-2</v>
      </c>
      <c r="D88" s="30">
        <f t="shared" si="4"/>
        <v>2.5625851460539507E-2</v>
      </c>
      <c r="E88" s="31">
        <f t="shared" si="5"/>
        <v>4.2087740652936474E-3</v>
      </c>
      <c r="F88" s="31">
        <f t="shared" si="5"/>
        <v>4.3123036206392344E-3</v>
      </c>
      <c r="G88" s="31">
        <f t="shared" si="5"/>
        <v>4.3290203417007088E-3</v>
      </c>
    </row>
    <row r="89" spans="1:7" x14ac:dyDescent="0.25">
      <c r="A89" s="1">
        <f>CALCULATIONS!A84</f>
        <v>552</v>
      </c>
      <c r="B89" s="36">
        <f>PI()*CALCULATIONS!L84</f>
        <v>4.1031057468773552E-3</v>
      </c>
      <c r="C89" s="31">
        <f t="shared" si="3"/>
        <v>2.1253599641365105E-2</v>
      </c>
      <c r="D89" s="30">
        <f t="shared" si="4"/>
        <v>2.5356705388242459E-2</v>
      </c>
      <c r="E89" s="31">
        <f t="shared" si="5"/>
        <v>4.000503653716049E-3</v>
      </c>
      <c r="F89" s="31">
        <f t="shared" si="5"/>
        <v>4.1030917087062878E-3</v>
      </c>
      <c r="G89" s="31">
        <f t="shared" si="5"/>
        <v>4.1197614219843359E-3</v>
      </c>
    </row>
    <row r="90" spans="1:7" x14ac:dyDescent="0.25">
      <c r="A90" s="1">
        <f>CALCULATIONS!A85</f>
        <v>554</v>
      </c>
      <c r="B90" s="36">
        <f>PI()*CALCULATIONS!L85</f>
        <v>3.9275671887975894E-3</v>
      </c>
      <c r="C90" s="31">
        <f t="shared" si="3"/>
        <v>2.1194049904412208E-2</v>
      </c>
      <c r="D90" s="30">
        <f t="shared" si="4"/>
        <v>2.5121617093209796E-2</v>
      </c>
      <c r="E90" s="31">
        <f t="shared" si="5"/>
        <v>3.8258987584607815E-3</v>
      </c>
      <c r="F90" s="31">
        <f t="shared" si="5"/>
        <v>3.9275531899595935E-3</v>
      </c>
      <c r="G90" s="31">
        <f t="shared" si="5"/>
        <v>3.9441761969357669E-3</v>
      </c>
    </row>
    <row r="91" spans="1:7" x14ac:dyDescent="0.25">
      <c r="A91" s="1">
        <f>CALCULATIONS!A86</f>
        <v>556</v>
      </c>
      <c r="B91" s="36">
        <f>PI()*CALCULATIONS!L86</f>
        <v>3.7917689641068313E-3</v>
      </c>
      <c r="C91" s="31">
        <f t="shared" si="3"/>
        <v>2.1134880711697404E-2</v>
      </c>
      <c r="D91" s="30">
        <f t="shared" si="4"/>
        <v>2.4926649675804234E-2</v>
      </c>
      <c r="E91" s="31">
        <f t="shared" si="5"/>
        <v>3.691026409944221E-3</v>
      </c>
      <c r="F91" s="31">
        <f t="shared" si="5"/>
        <v>3.7917550043505589E-3</v>
      </c>
      <c r="G91" s="31">
        <f t="shared" si="5"/>
        <v>3.8083316034949258E-3</v>
      </c>
    </row>
    <row r="92" spans="1:7" x14ac:dyDescent="0.25">
      <c r="A92" s="1">
        <f>CALCULATIONS!A87</f>
        <v>558</v>
      </c>
      <c r="B92" s="36">
        <f>PI()*CALCULATIONS!L87</f>
        <v>3.6790224308508746E-3</v>
      </c>
      <c r="C92" s="31">
        <f t="shared" si="3"/>
        <v>2.1076088275617921E-2</v>
      </c>
      <c r="D92" s="30">
        <f t="shared" si="4"/>
        <v>2.4755110706468797E-2</v>
      </c>
      <c r="E92" s="31">
        <f t="shared" si="5"/>
        <v>3.5791980553374243E-3</v>
      </c>
      <c r="F92" s="31">
        <f t="shared" si="5"/>
        <v>3.6790085099274727E-3</v>
      </c>
      <c r="G92" s="31">
        <f t="shared" si="5"/>
        <v>3.6955389967393941E-3</v>
      </c>
    </row>
    <row r="93" spans="1:7" x14ac:dyDescent="0.25">
      <c r="A93" s="1">
        <f>CALCULATIONS!A88</f>
        <v>560</v>
      </c>
      <c r="B93" s="36">
        <f>PI()*CALCULATIONS!L88</f>
        <v>3.5603540418021411E-3</v>
      </c>
      <c r="C93" s="31">
        <f t="shared" si="3"/>
        <v>2.1017668859667344E-2</v>
      </c>
      <c r="D93" s="30">
        <f t="shared" si="4"/>
        <v>2.4578022901469484E-2</v>
      </c>
      <c r="E93" s="31">
        <f t="shared" si="5"/>
        <v>3.4614402352203047E-3</v>
      </c>
      <c r="F93" s="31">
        <f t="shared" si="5"/>
        <v>3.5603401594652244E-3</v>
      </c>
      <c r="G93" s="31">
        <f t="shared" si="5"/>
        <v>3.576824826513423E-3</v>
      </c>
    </row>
    <row r="94" spans="1:7" x14ac:dyDescent="0.25">
      <c r="A94" s="1">
        <f>CALCULATIONS!A89</f>
        <v>562</v>
      </c>
      <c r="B94" s="36">
        <f>PI()*CALCULATIONS!L89</f>
        <v>3.4471808039665173E-3</v>
      </c>
      <c r="C94" s="31">
        <f t="shared" si="3"/>
        <v>2.0959618777566878E-2</v>
      </c>
      <c r="D94" s="30">
        <f t="shared" si="4"/>
        <v>2.4406799581533394E-2</v>
      </c>
      <c r="E94" s="31">
        <f t="shared" si="5"/>
        <v>3.349170043112467E-3</v>
      </c>
      <c r="F94" s="31">
        <f t="shared" si="5"/>
        <v>3.4471669599721415E-3</v>
      </c>
      <c r="G94" s="31">
        <f t="shared" si="5"/>
        <v>3.4636060969341111E-3</v>
      </c>
    </row>
    <row r="95" spans="1:7" x14ac:dyDescent="0.25">
      <c r="A95" s="1">
        <f>CALCULATIONS!A90</f>
        <v>564</v>
      </c>
      <c r="B95" s="36">
        <f>PI()*CALCULATIONS!L90</f>
        <v>3.3437567230810931E-3</v>
      </c>
      <c r="C95" s="31">
        <f t="shared" si="3"/>
        <v>2.0901934392414358E-2</v>
      </c>
      <c r="D95" s="30">
        <f t="shared" si="4"/>
        <v>2.4245691115495453E-2</v>
      </c>
      <c r="E95" s="31">
        <f t="shared" si="5"/>
        <v>3.2466415699943414E-3</v>
      </c>
      <c r="F95" s="31">
        <f t="shared" si="5"/>
        <v>3.3437429171877149E-3</v>
      </c>
      <c r="G95" s="31">
        <f t="shared" si="5"/>
        <v>3.3601368108884325E-3</v>
      </c>
    </row>
    <row r="96" spans="1:7" x14ac:dyDescent="0.25">
      <c r="A96" s="1">
        <f>CALCULATIONS!A91</f>
        <v>566</v>
      </c>
      <c r="B96" s="36">
        <f>PI()*CALCULATIONS!L91</f>
        <v>3.2180841756119065E-3</v>
      </c>
      <c r="C96" s="31">
        <f t="shared" si="3"/>
        <v>2.0844612115850661E-2</v>
      </c>
      <c r="D96" s="30">
        <f t="shared" si="4"/>
        <v>2.4062696291462567E-2</v>
      </c>
      <c r="E96" s="31">
        <f t="shared" si="5"/>
        <v>3.121857276327876E-3</v>
      </c>
      <c r="F96" s="31">
        <f t="shared" si="5"/>
        <v>3.218070407580341E-3</v>
      </c>
      <c r="G96" s="31">
        <f t="shared" si="5"/>
        <v>3.2344193420303508E-3</v>
      </c>
    </row>
    <row r="97" spans="1:7" x14ac:dyDescent="0.25">
      <c r="A97" s="1">
        <f>CALCULATIONS!A92</f>
        <v>568</v>
      </c>
      <c r="B97" s="36">
        <f>PI()*CALCULATIONS!L92</f>
        <v>3.1117564715978504E-3</v>
      </c>
      <c r="C97" s="31">
        <f t="shared" si="3"/>
        <v>2.0787648407243071E-2</v>
      </c>
      <c r="D97" s="30">
        <f t="shared" si="4"/>
        <v>2.3899404878840923E-2</v>
      </c>
      <c r="E97" s="31">
        <f t="shared" si="5"/>
        <v>3.0164105549229207E-3</v>
      </c>
      <c r="F97" s="31">
        <f t="shared" si="5"/>
        <v>3.1117427411912688E-3</v>
      </c>
      <c r="G97" s="31">
        <f t="shared" si="5"/>
        <v>3.1280469976241038E-3</v>
      </c>
    </row>
    <row r="98" spans="1:7" x14ac:dyDescent="0.25">
      <c r="A98" s="1">
        <f>CALCULATIONS!A93</f>
        <v>570</v>
      </c>
      <c r="B98" s="36">
        <f>PI()*CALCULATIONS!L93</f>
        <v>2.9754219106803421E-3</v>
      </c>
      <c r="C98" s="31">
        <f t="shared" si="3"/>
        <v>2.0731039772885214E-2</v>
      </c>
      <c r="D98" s="30">
        <f t="shared" si="4"/>
        <v>2.3706461683565556E-2</v>
      </c>
      <c r="E98" s="31">
        <f t="shared" si="5"/>
        <v>2.8809497869888082E-3</v>
      </c>
      <c r="F98" s="31">
        <f t="shared" si="5"/>
        <v>2.9754082176642119E-3</v>
      </c>
      <c r="G98" s="31">
        <f t="shared" si="5"/>
        <v>2.9916680745732151E-3</v>
      </c>
    </row>
    <row r="99" spans="1:7" x14ac:dyDescent="0.25">
      <c r="A99" s="1">
        <f>CALCULATIONS!A94</f>
        <v>572</v>
      </c>
      <c r="B99" s="36">
        <f>PI()*CALCULATIONS!L94</f>
        <v>2.837403994460782E-3</v>
      </c>
      <c r="C99" s="31">
        <f t="shared" si="3"/>
        <v>2.0674782765213128E-2</v>
      </c>
      <c r="D99" s="30">
        <f t="shared" si="4"/>
        <v>2.3512186759673911E-2</v>
      </c>
      <c r="E99" s="31">
        <f t="shared" si="5"/>
        <v>2.7437985545133541E-3</v>
      </c>
      <c r="F99" s="31">
        <f t="shared" si="5"/>
        <v>2.8373903386028528E-3</v>
      </c>
      <c r="G99" s="31">
        <f t="shared" si="5"/>
        <v>2.853606071777353E-3</v>
      </c>
    </row>
    <row r="100" spans="1:7" x14ac:dyDescent="0.25">
      <c r="A100" s="1">
        <f>CALCULATIONS!A95</f>
        <v>574</v>
      </c>
      <c r="B100" s="36">
        <f>PI()*CALCULATIONS!L95</f>
        <v>2.6962503985010593E-3</v>
      </c>
      <c r="C100" s="31">
        <f t="shared" si="3"/>
        <v>2.0618873982037135E-2</v>
      </c>
      <c r="D100" s="30">
        <f t="shared" si="4"/>
        <v>2.3315124380538194E-2</v>
      </c>
      <c r="E100" s="31">
        <f t="shared" si="5"/>
        <v>2.6035046122843582E-3</v>
      </c>
      <c r="F100" s="31">
        <f t="shared" si="5"/>
        <v>2.6962367795713219E-3</v>
      </c>
      <c r="G100" s="31">
        <f t="shared" si="5"/>
        <v>2.7124086621322339E-3</v>
      </c>
    </row>
    <row r="101" spans="1:7" x14ac:dyDescent="0.25">
      <c r="A101" s="1">
        <f>CALCULATIONS!A96</f>
        <v>576</v>
      </c>
      <c r="B101" s="36">
        <f>PI()*CALCULATIONS!L96</f>
        <v>2.5454108221936935E-3</v>
      </c>
      <c r="C101" s="31">
        <f t="shared" si="3"/>
        <v>2.0563310065789143E-2</v>
      </c>
      <c r="D101" s="30">
        <f t="shared" si="4"/>
        <v>2.3108720887982836E-2</v>
      </c>
      <c r="E101" s="31">
        <f t="shared" si="5"/>
        <v>2.4535177377804154E-3</v>
      </c>
      <c r="F101" s="31">
        <f t="shared" si="5"/>
        <v>2.5453972399643622E-3</v>
      </c>
      <c r="G101" s="31">
        <f t="shared" si="5"/>
        <v>2.5615255423991762E-3</v>
      </c>
    </row>
    <row r="102" spans="1:7" x14ac:dyDescent="0.25">
      <c r="A102" s="1">
        <f>CALCULATIONS!A97</f>
        <v>578</v>
      </c>
      <c r="B102" s="36">
        <f>PI()*CALCULATIONS!L97</f>
        <v>2.4106026177044644E-3</v>
      </c>
      <c r="C102" s="31">
        <f t="shared" si="3"/>
        <v>2.0508087702784943E-2</v>
      </c>
      <c r="D102" s="30">
        <f t="shared" si="4"/>
        <v>2.2918690320489408E-2</v>
      </c>
      <c r="E102" s="31">
        <f t="shared" si="5"/>
        <v>2.3195553601336287E-3</v>
      </c>
      <c r="F102" s="31">
        <f t="shared" si="5"/>
        <v>2.4105890719499437E-3</v>
      </c>
      <c r="G102" s="31">
        <f t="shared" si="5"/>
        <v>2.4266740621471418E-3</v>
      </c>
    </row>
    <row r="103" spans="1:7" x14ac:dyDescent="0.25">
      <c r="A103" s="1">
        <f>CALCULATIONS!A98</f>
        <v>580</v>
      </c>
      <c r="B103" s="36">
        <f>PI()*CALCULATIONS!L98</f>
        <v>2.2443324264079063E-3</v>
      </c>
      <c r="C103" s="31">
        <f t="shared" si="3"/>
        <v>2.0453203622501262E-2</v>
      </c>
      <c r="D103" s="30">
        <f t="shared" si="4"/>
        <v>2.2697536048909169E-2</v>
      </c>
      <c r="E103" s="31">
        <f t="shared" si="5"/>
        <v>2.1541241965848806E-3</v>
      </c>
      <c r="F103" s="31">
        <f t="shared" si="5"/>
        <v>2.2443189169047591E-3</v>
      </c>
      <c r="G103" s="31">
        <f t="shared" si="5"/>
        <v>2.2603608601876775E-3</v>
      </c>
    </row>
    <row r="104" spans="1:7" x14ac:dyDescent="0.25">
      <c r="A104" s="1">
        <f>CALCULATIONS!A99</f>
        <v>582</v>
      </c>
      <c r="B104" s="36">
        <f>PI()*CALCULATIONS!L99</f>
        <v>2.1132931370261066E-3</v>
      </c>
      <c r="C104" s="31">
        <f t="shared" si="3"/>
        <v>2.0398654596867131E-2</v>
      </c>
      <c r="D104" s="30">
        <f t="shared" si="4"/>
        <v>2.2511947733893239E-2</v>
      </c>
      <c r="E104" s="31">
        <f t="shared" si="5"/>
        <v>2.0239172106419588E-3</v>
      </c>
      <c r="F104" s="31">
        <f t="shared" si="5"/>
        <v>2.1132796635530207E-3</v>
      </c>
      <c r="G104" s="31">
        <f t="shared" si="5"/>
        <v>2.1292788227131425E-3</v>
      </c>
    </row>
    <row r="105" spans="1:7" x14ac:dyDescent="0.25">
      <c r="A105" s="1">
        <f>CALCULATIONS!A100</f>
        <v>584</v>
      </c>
      <c r="B105" s="36">
        <f>PI()*CALCULATIONS!L100</f>
        <v>1.9377995019779169E-3</v>
      </c>
      <c r="C105" s="31">
        <f t="shared" si="3"/>
        <v>2.0344437439569294E-2</v>
      </c>
      <c r="D105" s="30">
        <f t="shared" si="4"/>
        <v>2.2282236941547212E-2</v>
      </c>
      <c r="E105" s="31">
        <f t="shared" si="5"/>
        <v>1.8492492284476816E-3</v>
      </c>
      <c r="F105" s="31">
        <f t="shared" si="5"/>
        <v>1.9377860643156955E-3</v>
      </c>
      <c r="G105" s="31">
        <f t="shared" si="5"/>
        <v>1.9537426996453985E-3</v>
      </c>
    </row>
    <row r="106" spans="1:7" x14ac:dyDescent="0.25">
      <c r="A106" s="1">
        <f>CALCULATIONS!A101</f>
        <v>586</v>
      </c>
      <c r="B106" s="36">
        <f>PI()*CALCULATIONS!L101</f>
        <v>1.7848498801477542E-3</v>
      </c>
      <c r="C106" s="31">
        <f t="shared" si="3"/>
        <v>2.0290549005371316E-2</v>
      </c>
      <c r="D106" s="30">
        <f t="shared" si="4"/>
        <v>2.2075398885519071E-2</v>
      </c>
      <c r="E106" s="31">
        <f t="shared" si="5"/>
        <v>1.6971186815672376E-3</v>
      </c>
      <c r="F106" s="31">
        <f t="shared" si="5"/>
        <v>1.7848364780792686E-3</v>
      </c>
      <c r="G106" s="31">
        <f t="shared" si="5"/>
        <v>1.80075084740405E-3</v>
      </c>
    </row>
    <row r="107" spans="1:7" x14ac:dyDescent="0.25">
      <c r="A107" s="1">
        <f>CALCULATIONS!A102</f>
        <v>588</v>
      </c>
      <c r="B107" s="36">
        <f>PI()*CALCULATIONS!L102</f>
        <v>1.6334539477693506E-3</v>
      </c>
      <c r="C107" s="31">
        <f t="shared" si="3"/>
        <v>2.0236986189446044E-2</v>
      </c>
      <c r="D107" s="30">
        <f t="shared" si="4"/>
        <v>2.1870440137215393E-2</v>
      </c>
      <c r="E107" s="31">
        <f t="shared" si="5"/>
        <v>1.5465353178900458E-3</v>
      </c>
      <c r="F107" s="31">
        <f t="shared" si="5"/>
        <v>1.6334405810795281E-3</v>
      </c>
      <c r="G107" s="31">
        <f t="shared" si="5"/>
        <v>1.649312939789687E-3</v>
      </c>
    </row>
    <row r="108" spans="1:7" x14ac:dyDescent="0.25">
      <c r="A108" s="1">
        <f>CALCULATIONS!A103</f>
        <v>590</v>
      </c>
      <c r="B108" s="36">
        <f>PI()*CALCULATIONS!L103</f>
        <v>1.4934105059285743E-3</v>
      </c>
      <c r="C108" s="31">
        <f t="shared" si="3"/>
        <v>2.0183745926721199E-2</v>
      </c>
      <c r="D108" s="30">
        <f t="shared" si="4"/>
        <v>2.1677156432649773E-2</v>
      </c>
      <c r="E108" s="31">
        <f t="shared" si="5"/>
        <v>1.4072980091504109E-3</v>
      </c>
      <c r="F108" s="31">
        <f t="shared" si="5"/>
        <v>1.4933971744043699E-3</v>
      </c>
      <c r="G108" s="31">
        <f t="shared" si="5"/>
        <v>1.5092277754862014E-3</v>
      </c>
    </row>
    <row r="109" spans="1:7" x14ac:dyDescent="0.25">
      <c r="A109" s="1">
        <f>CALCULATIONS!A104</f>
        <v>592</v>
      </c>
      <c r="B109" s="36">
        <f>PI()*CALCULATIONS!L104</f>
        <v>1.3732226507846843E-3</v>
      </c>
      <c r="C109" s="31">
        <f t="shared" si="3"/>
        <v>2.013082519123768E-2</v>
      </c>
      <c r="D109" s="30">
        <f t="shared" si="4"/>
        <v>2.1504047842022363E-2</v>
      </c>
      <c r="E109" s="31">
        <f t="shared" si="5"/>
        <v>1.2879099211661263E-3</v>
      </c>
      <c r="F109" s="31">
        <f t="shared" si="5"/>
        <v>1.3732093542150429E-3</v>
      </c>
      <c r="G109" s="31">
        <f t="shared" si="5"/>
        <v>1.3889984482815046E-3</v>
      </c>
    </row>
    <row r="110" spans="1:7" x14ac:dyDescent="0.25">
      <c r="A110" s="1">
        <f>CALCULATIONS!A105</f>
        <v>594</v>
      </c>
      <c r="B110" s="36">
        <f>PI()*CALCULATIONS!L105</f>
        <v>1.2650122148182706E-3</v>
      </c>
      <c r="C110" s="31">
        <f t="shared" si="3"/>
        <v>2.0078220995520393E-2</v>
      </c>
      <c r="D110" s="30">
        <f t="shared" si="4"/>
        <v>2.1343233210338663E-2</v>
      </c>
      <c r="E110" s="31">
        <f t="shared" ref="E110:G141" si="6">$D110-E$9*POWER($A110/865,-E$11)</f>
        <v>1.1804929551034807E-3</v>
      </c>
      <c r="F110" s="31">
        <f t="shared" si="6"/>
        <v>1.2649989529941175E-3</v>
      </c>
      <c r="G110" s="31">
        <f t="shared" si="6"/>
        <v>1.2807467883150202E-3</v>
      </c>
    </row>
    <row r="111" spans="1:7" x14ac:dyDescent="0.25">
      <c r="A111" s="1">
        <f>CALCULATIONS!A106</f>
        <v>596</v>
      </c>
      <c r="B111" s="36">
        <f>PI()*CALCULATIONS!L106</f>
        <v>1.1537660187756285E-3</v>
      </c>
      <c r="C111" s="31">
        <f t="shared" si="3"/>
        <v>2.0025930389961265E-2</v>
      </c>
      <c r="D111" s="30">
        <f t="shared" si="4"/>
        <v>2.1179696408736893E-2</v>
      </c>
      <c r="E111" s="31">
        <f t="shared" si="6"/>
        <v>1.0700339994383357E-3</v>
      </c>
      <c r="F111" s="31">
        <f t="shared" si="6"/>
        <v>1.1537527914898364E-3</v>
      </c>
      <c r="G111" s="31">
        <f t="shared" si="6"/>
        <v>1.1694596140215396E-3</v>
      </c>
    </row>
    <row r="112" spans="1:7" x14ac:dyDescent="0.25">
      <c r="A112" s="1">
        <f>CALCULATIONS!A107</f>
        <v>598</v>
      </c>
      <c r="B112" s="36">
        <f>PI()*CALCULATIONS!L107</f>
        <v>1.0434955068624088E-3</v>
      </c>
      <c r="C112" s="31">
        <f t="shared" si="3"/>
        <v>1.9973950462214181E-2</v>
      </c>
      <c r="D112" s="30">
        <f t="shared" si="4"/>
        <v>2.1017445969076589E-2</v>
      </c>
      <c r="E112" s="31">
        <f t="shared" si="6"/>
        <v>9.6054456516612291E-4</v>
      </c>
      <c r="F112" s="31">
        <f t="shared" si="6"/>
        <v>1.0434823139097715E-3</v>
      </c>
      <c r="G112" s="31">
        <f t="shared" si="6"/>
        <v>1.0591483673244133E-3</v>
      </c>
    </row>
    <row r="113" spans="1:7" x14ac:dyDescent="0.25">
      <c r="A113" s="1">
        <f>CALCULATIONS!A108</f>
        <v>600</v>
      </c>
      <c r="B113" s="36">
        <f>PI()*CALCULATIONS!L108</f>
        <v>8.6399281264519013E-4</v>
      </c>
      <c r="C113" s="31">
        <f t="shared" si="3"/>
        <v>1.9922278336601578E-2</v>
      </c>
      <c r="D113" s="30">
        <f t="shared" si="4"/>
        <v>2.078627114924677E-2</v>
      </c>
      <c r="E113" s="31">
        <f t="shared" si="6"/>
        <v>7.8181685171947041E-4</v>
      </c>
      <c r="F113" s="31">
        <f t="shared" si="6"/>
        <v>8.639796538224033E-4</v>
      </c>
      <c r="G113" s="31">
        <f t="shared" si="6"/>
        <v>8.7960517953665843E-4</v>
      </c>
    </row>
    <row r="114" spans="1:7" x14ac:dyDescent="0.25">
      <c r="A114" s="1">
        <f>CALCULATIONS!A109</f>
        <v>602</v>
      </c>
      <c r="B114" s="36">
        <f>PI()*CALCULATIONS!L109</f>
        <v>8.0352912453464961E-4</v>
      </c>
      <c r="C114" s="31">
        <f t="shared" si="3"/>
        <v>1.9870911173532423E-2</v>
      </c>
      <c r="D114" s="30">
        <f t="shared" si="4"/>
        <v>2.0674440298067073E-2</v>
      </c>
      <c r="E114" s="31">
        <f t="shared" si="6"/>
        <v>7.2212211246703781E-4</v>
      </c>
      <c r="F114" s="31">
        <f t="shared" si="6"/>
        <v>8.0351599964028145E-4</v>
      </c>
      <c r="G114" s="31">
        <f t="shared" si="6"/>
        <v>8.191012368436619E-4</v>
      </c>
    </row>
    <row r="115" spans="1:7" x14ac:dyDescent="0.25">
      <c r="A115" s="1">
        <f>CALCULATIONS!A110</f>
        <v>604</v>
      </c>
      <c r="B115" s="36">
        <f>PI()*CALCULATIONS!L110</f>
        <v>7.6831452615130512E-4</v>
      </c>
      <c r="C115" s="31">
        <f t="shared" si="3"/>
        <v>1.9819846168931333E-2</v>
      </c>
      <c r="D115" s="30">
        <f t="shared" si="4"/>
        <v>2.0588160695082638E-2</v>
      </c>
      <c r="E115" s="31">
        <f t="shared" si="6"/>
        <v>6.8767049509467146E-4</v>
      </c>
      <c r="F115" s="31">
        <f t="shared" si="6"/>
        <v>7.6830143498577558E-4</v>
      </c>
      <c r="G115" s="31">
        <f t="shared" si="6"/>
        <v>7.8384662066849353E-4</v>
      </c>
    </row>
    <row r="116" spans="1:7" x14ac:dyDescent="0.25">
      <c r="A116" s="1">
        <f>CALCULATIONS!A111</f>
        <v>606</v>
      </c>
      <c r="B116" s="36">
        <f>PI()*CALCULATIONS!L111</f>
        <v>7.1937465137431207E-4</v>
      </c>
      <c r="C116" s="31">
        <f t="shared" si="3"/>
        <v>1.9769080553678584E-2</v>
      </c>
      <c r="D116" s="30">
        <f t="shared" si="4"/>
        <v>2.0488455205052894E-2</v>
      </c>
      <c r="E116" s="31">
        <f t="shared" si="6"/>
        <v>6.3948769666925809E-4</v>
      </c>
      <c r="F116" s="31">
        <f t="shared" si="6"/>
        <v>7.1936159373987146E-4</v>
      </c>
      <c r="G116" s="31">
        <f t="shared" si="6"/>
        <v>7.3486696272024449E-4</v>
      </c>
    </row>
    <row r="117" spans="1:7" x14ac:dyDescent="0.25">
      <c r="A117" s="1">
        <f>CALCULATIONS!A112</f>
        <v>608</v>
      </c>
      <c r="B117" s="36">
        <f>PI()*CALCULATIONS!L112</f>
        <v>6.9404079425548553E-4</v>
      </c>
      <c r="C117" s="31">
        <f t="shared" si="3"/>
        <v>1.971861159306075E-2</v>
      </c>
      <c r="D117" s="30">
        <f t="shared" si="4"/>
        <v>2.0412652387316235E-2</v>
      </c>
      <c r="E117" s="31">
        <f t="shared" si="6"/>
        <v>6.1490507356754334E-4</v>
      </c>
      <c r="F117" s="31">
        <f t="shared" si="6"/>
        <v>6.9402776995619239E-4</v>
      </c>
      <c r="G117" s="31">
        <f t="shared" si="6"/>
        <v>7.0949355490764268E-4</v>
      </c>
    </row>
    <row r="118" spans="1:7" x14ac:dyDescent="0.25">
      <c r="A118" s="1">
        <f>CALCULATIONS!A113</f>
        <v>610</v>
      </c>
      <c r="B118" s="36">
        <f>PI()*CALCULATIONS!L113</f>
        <v>6.7699792836189521E-4</v>
      </c>
      <c r="C118" s="31">
        <f t="shared" si="3"/>
        <v>1.9668436586231779E-2</v>
      </c>
      <c r="D118" s="30">
        <f t="shared" si="4"/>
        <v>2.0345434514593676E-2</v>
      </c>
      <c r="E118" s="31">
        <f t="shared" si="6"/>
        <v>5.9860766083318431E-4</v>
      </c>
      <c r="F118" s="31">
        <f t="shared" si="6"/>
        <v>6.7698493720359798E-4</v>
      </c>
      <c r="G118" s="31">
        <f t="shared" si="6"/>
        <v>6.9241136868120057E-4</v>
      </c>
    </row>
    <row r="119" spans="1:7" x14ac:dyDescent="0.25">
      <c r="A119" s="1">
        <f>CALCULATIONS!A114</f>
        <v>612</v>
      </c>
      <c r="B119" s="36">
        <f>PI()*CALCULATIONS!L114</f>
        <v>6.6393456656624837E-4</v>
      </c>
      <c r="C119" s="31">
        <f t="shared" si="3"/>
        <v>1.9618552865684178E-2</v>
      </c>
      <c r="D119" s="30">
        <f t="shared" si="4"/>
        <v>2.0282487432250425E-2</v>
      </c>
      <c r="E119" s="31">
        <f t="shared" si="6"/>
        <v>5.8628403198131632E-4</v>
      </c>
      <c r="F119" s="31">
        <f t="shared" si="6"/>
        <v>6.639216083565401E-4</v>
      </c>
      <c r="G119" s="31">
        <f t="shared" si="6"/>
        <v>6.7930891482319289E-4</v>
      </c>
    </row>
    <row r="120" spans="1:7" x14ac:dyDescent="0.25">
      <c r="A120" s="1">
        <f>CALCULATIONS!A115</f>
        <v>614</v>
      </c>
      <c r="B120" s="36">
        <f>PI()*CALCULATIONS!L115</f>
        <v>6.5098364787002222E-4</v>
      </c>
      <c r="C120" s="31">
        <f t="shared" si="3"/>
        <v>1.9568957796730249E-2</v>
      </c>
      <c r="D120" s="30">
        <f t="shared" si="4"/>
        <v>2.0219941444600271E-2</v>
      </c>
      <c r="E120" s="31">
        <f t="shared" si="6"/>
        <v>5.7406718583562916E-4</v>
      </c>
      <c r="F120" s="31">
        <f t="shared" si="6"/>
        <v>6.5097072241825094E-4</v>
      </c>
      <c r="G120" s="31">
        <f t="shared" si="6"/>
        <v>6.6631913027039025E-4</v>
      </c>
    </row>
    <row r="121" spans="1:7" x14ac:dyDescent="0.25">
      <c r="A121" s="1">
        <f>CALCULATIONS!A116</f>
        <v>616</v>
      </c>
      <c r="B121" s="36">
        <f>PI()*CALCULATIONS!L116</f>
        <v>6.3860655125655473E-4</v>
      </c>
      <c r="C121" s="31">
        <f t="shared" si="3"/>
        <v>1.9519648776992984E-2</v>
      </c>
      <c r="D121" s="30">
        <f t="shared" si="4"/>
        <v>2.0158255328249539E-2</v>
      </c>
      <c r="E121" s="31">
        <f t="shared" si="6"/>
        <v>5.6241856039506224E-4</v>
      </c>
      <c r="F121" s="31">
        <f t="shared" si="6"/>
        <v>6.3859365837378237E-4</v>
      </c>
      <c r="G121" s="31">
        <f t="shared" si="6"/>
        <v>6.5390339196674113E-4</v>
      </c>
    </row>
    <row r="122" spans="1:7" x14ac:dyDescent="0.25">
      <c r="A122" s="1">
        <f>CALCULATIONS!A117</f>
        <v>618</v>
      </c>
      <c r="B122" s="36">
        <f>PI()*CALCULATIONS!L117</f>
        <v>6.2722429854838991E-4</v>
      </c>
      <c r="C122" s="31">
        <f t="shared" si="3"/>
        <v>1.9470623235906471E-2</v>
      </c>
      <c r="D122" s="30">
        <f t="shared" si="4"/>
        <v>2.0097847534454861E-2</v>
      </c>
      <c r="E122" s="31">
        <f t="shared" si="6"/>
        <v>5.5175923570448954E-4</v>
      </c>
      <c r="F122" s="31">
        <f t="shared" si="6"/>
        <v>6.272114380473752E-4</v>
      </c>
      <c r="G122" s="31">
        <f t="shared" si="6"/>
        <v>6.4248271972033172E-4</v>
      </c>
    </row>
    <row r="123" spans="1:7" x14ac:dyDescent="0.25">
      <c r="A123" s="1">
        <f>CALCULATIONS!A118</f>
        <v>620</v>
      </c>
      <c r="B123" s="36">
        <f>PI()*CALCULATIONS!L118</f>
        <v>6.1524327021734331E-4</v>
      </c>
      <c r="C123" s="31">
        <f t="shared" si="3"/>
        <v>1.9421878634225696E-2</v>
      </c>
      <c r="D123" s="30">
        <f t="shared" si="4"/>
        <v>2.0037121904443039E-2</v>
      </c>
      <c r="E123" s="31">
        <f t="shared" si="6"/>
        <v>5.4049564967795574E-4</v>
      </c>
      <c r="F123" s="31">
        <f t="shared" si="6"/>
        <v>6.1523044191252527E-4</v>
      </c>
      <c r="G123" s="31">
        <f t="shared" si="6"/>
        <v>6.3046349201306001E-4</v>
      </c>
    </row>
    <row r="124" spans="1:7" x14ac:dyDescent="0.25">
      <c r="A124" s="1">
        <f>CALCULATIONS!A119</f>
        <v>622</v>
      </c>
      <c r="B124" s="36">
        <f>PI()*CALCULATIONS!L119</f>
        <v>6.027290416943114E-4</v>
      </c>
      <c r="C124" s="31">
        <f t="shared" si="3"/>
        <v>1.9373412463545344E-2</v>
      </c>
      <c r="D124" s="30">
        <f t="shared" si="4"/>
        <v>1.9976141505239655E-2</v>
      </c>
      <c r="E124" s="31">
        <f t="shared" si="6"/>
        <v>5.2869343442126307E-4</v>
      </c>
      <c r="F124" s="31">
        <f t="shared" si="6"/>
        <v>6.0271624540178537E-4</v>
      </c>
      <c r="G124" s="31">
        <f t="shared" si="6"/>
        <v>6.1791128231008033E-4</v>
      </c>
    </row>
    <row r="125" spans="1:7" x14ac:dyDescent="0.25">
      <c r="A125" s="1">
        <f>CALCULATIONS!A120</f>
        <v>624</v>
      </c>
      <c r="B125" s="36">
        <f>PI()*CALCULATIONS!L120</f>
        <v>5.9056888514179067E-4</v>
      </c>
      <c r="C125" s="31">
        <f t="shared" si="3"/>
        <v>1.9325222245827604E-2</v>
      </c>
      <c r="D125" s="30">
        <f t="shared" si="4"/>
        <v>1.9915791130969394E-2</v>
      </c>
      <c r="E125" s="31">
        <f t="shared" si="6"/>
        <v>5.1723991801711985E-4</v>
      </c>
      <c r="F125" s="31">
        <f t="shared" si="6"/>
        <v>5.9055612067928157E-4</v>
      </c>
      <c r="G125" s="31">
        <f t="shared" si="6"/>
        <v>6.0571336083193456E-4</v>
      </c>
    </row>
    <row r="126" spans="1:7" x14ac:dyDescent="0.25">
      <c r="A126" s="1">
        <f>CALCULATIONS!A121</f>
        <v>626</v>
      </c>
      <c r="B126" s="36">
        <f>PI()*CALCULATIONS!L121</f>
        <v>5.7954697960023102E-4</v>
      </c>
      <c r="C126" s="31">
        <f t="shared" si="3"/>
        <v>1.9277305532938625E-2</v>
      </c>
      <c r="D126" s="30">
        <f t="shared" si="4"/>
        <v>1.9856852512538856E-2</v>
      </c>
      <c r="E126" s="31">
        <f t="shared" si="6"/>
        <v>5.0691933468383077E-4</v>
      </c>
      <c r="F126" s="31">
        <f t="shared" si="6"/>
        <v>5.7953424678709384E-4</v>
      </c>
      <c r="G126" s="31">
        <f t="shared" si="6"/>
        <v>5.9465390470057194E-4</v>
      </c>
    </row>
    <row r="127" spans="1:7" x14ac:dyDescent="0.25">
      <c r="A127" s="1">
        <f>CALCULATIONS!A122</f>
        <v>628</v>
      </c>
      <c r="B127" s="36">
        <f>PI()*CALCULATIONS!L122</f>
        <v>5.6803353227726405E-4</v>
      </c>
      <c r="C127" s="31">
        <f t="shared" si="3"/>
        <v>1.9229659906193533E-2</v>
      </c>
      <c r="D127" s="30">
        <f t="shared" si="4"/>
        <v>1.9797693438470796E-2</v>
      </c>
      <c r="E127" s="31">
        <f t="shared" si="6"/>
        <v>4.9610194607662556E-4</v>
      </c>
      <c r="F127" s="31">
        <f t="shared" si="6"/>
        <v>5.6802083093443825E-4</v>
      </c>
      <c r="G127" s="31">
        <f t="shared" si="6"/>
        <v>5.8310311922817049E-4</v>
      </c>
    </row>
    <row r="128" spans="1:7" x14ac:dyDescent="0.25">
      <c r="A128" s="1">
        <f>CALCULATIONS!A123</f>
        <v>630</v>
      </c>
      <c r="B128" s="36">
        <f>PI()*CALCULATIONS!L123</f>
        <v>5.5608414766141216E-4</v>
      </c>
      <c r="C128" s="31">
        <f t="shared" si="3"/>
        <v>1.9182282975909789E-2</v>
      </c>
      <c r="D128" s="30">
        <f t="shared" si="4"/>
        <v>1.9738367123571202E-2</v>
      </c>
      <c r="E128" s="31">
        <f t="shared" si="6"/>
        <v>4.8484341041325069E-4</v>
      </c>
      <c r="F128" s="31">
        <f t="shared" si="6"/>
        <v>5.5607147761142436E-4</v>
      </c>
      <c r="G128" s="31">
        <f t="shared" si="6"/>
        <v>5.7111660703056122E-4</v>
      </c>
    </row>
    <row r="129" spans="1:7" x14ac:dyDescent="0.25">
      <c r="A129" s="1">
        <f>CALCULATIONS!A124</f>
        <v>632</v>
      </c>
      <c r="B129" s="36">
        <f>PI()*CALCULATIONS!L124</f>
        <v>5.4448754466233972E-4</v>
      </c>
      <c r="C129" s="31">
        <f t="shared" si="3"/>
        <v>1.9135172380968724E-2</v>
      </c>
      <c r="D129" s="30">
        <f t="shared" si="4"/>
        <v>1.9679659925631064E-2</v>
      </c>
      <c r="E129" s="31">
        <f t="shared" si="6"/>
        <v>4.7393249962587869E-4</v>
      </c>
      <c r="F129" s="31">
        <f t="shared" si="6"/>
        <v>5.4447490572927595E-4</v>
      </c>
      <c r="G129" s="31">
        <f t="shared" si="6"/>
        <v>5.5948308516707776E-4</v>
      </c>
    </row>
    <row r="130" spans="1:7" x14ac:dyDescent="0.25">
      <c r="A130" s="1">
        <f>CALCULATIONS!A125</f>
        <v>634</v>
      </c>
      <c r="B130" s="36">
        <f>PI()*CALCULATIONS!L125</f>
        <v>5.349968006891577E-4</v>
      </c>
      <c r="C130" s="31">
        <f t="shared" si="3"/>
        <v>1.9088325788385024E-2</v>
      </c>
      <c r="D130" s="30">
        <f t="shared" si="4"/>
        <v>1.962332258907418E-2</v>
      </c>
      <c r="E130" s="31">
        <f t="shared" si="6"/>
        <v>4.6512234345079742E-4</v>
      </c>
      <c r="F130" s="31">
        <f t="shared" si="6"/>
        <v>5.3498419269863706E-4</v>
      </c>
      <c r="G130" s="31">
        <f t="shared" si="6"/>
        <v>5.4995562921855007E-4</v>
      </c>
    </row>
    <row r="131" spans="1:7" x14ac:dyDescent="0.25">
      <c r="A131" s="1">
        <f>CALCULATIONS!A126</f>
        <v>636</v>
      </c>
      <c r="B131" s="36">
        <f>PI()*CALCULATIONS!L126</f>
        <v>5.2504433278380031E-4</v>
      </c>
      <c r="C131" s="31">
        <f t="shared" si="3"/>
        <v>1.9041740892884105E-2</v>
      </c>
      <c r="D131" s="30">
        <f t="shared" si="4"/>
        <v>1.9566785225667904E-2</v>
      </c>
      <c r="E131" s="31">
        <f t="shared" si="6"/>
        <v>4.5584541057302336E-4</v>
      </c>
      <c r="F131" s="31">
        <f t="shared" si="6"/>
        <v>5.2503175556297202E-4</v>
      </c>
      <c r="G131" s="31">
        <f t="shared" si="6"/>
        <v>5.3996665442036448E-4</v>
      </c>
    </row>
    <row r="132" spans="1:7" x14ac:dyDescent="0.25">
      <c r="A132" s="1">
        <f>CALCULATIONS!A127</f>
        <v>638</v>
      </c>
      <c r="B132" s="36">
        <f>PI()*CALCULATIONS!L127</f>
        <v>5.1351078373868941E-4</v>
      </c>
      <c r="C132" s="31">
        <f t="shared" si="3"/>
        <v>1.8995415416487065E-2</v>
      </c>
      <c r="D132" s="30">
        <f t="shared" si="4"/>
        <v>1.9508926200225755E-2</v>
      </c>
      <c r="E132" s="31">
        <f t="shared" si="6"/>
        <v>4.4498239475492668E-4</v>
      </c>
      <c r="F132" s="31">
        <f t="shared" si="6"/>
        <v>5.1349823711620626E-4</v>
      </c>
      <c r="G132" s="31">
        <f t="shared" si="6"/>
        <v>5.28396801779768E-4</v>
      </c>
    </row>
    <row r="133" spans="1:7" x14ac:dyDescent="0.25">
      <c r="A133" s="1">
        <f>CALCULATIONS!A128</f>
        <v>640</v>
      </c>
      <c r="B133" s="36">
        <f>PI()*CALCULATIONS!L128</f>
        <v>5.0282039765004783E-4</v>
      </c>
      <c r="C133" s="31">
        <f t="shared" si="3"/>
        <v>1.8949347108103205E-2</v>
      </c>
      <c r="D133" s="30">
        <f t="shared" si="4"/>
        <v>1.9452167505753255E-2</v>
      </c>
      <c r="E133" s="31">
        <f t="shared" si="6"/>
        <v>4.3495759040033596E-4</v>
      </c>
      <c r="F133" s="31">
        <f t="shared" si="6"/>
        <v>5.0280788145605146E-4</v>
      </c>
      <c r="G133" s="31">
        <f t="shared" si="6"/>
        <v>5.176703136288846E-4</v>
      </c>
    </row>
    <row r="134" spans="1:7" x14ac:dyDescent="0.25">
      <c r="A134" s="1">
        <f>CALCULATIONS!A129</f>
        <v>642</v>
      </c>
      <c r="B134" s="36">
        <f>PI()*CALCULATIONS!L129</f>
        <v>4.9275495217843384E-4</v>
      </c>
      <c r="C134" s="31">
        <f t="shared" si="3"/>
        <v>1.8903533743129822E-2</v>
      </c>
      <c r="D134" s="30">
        <f t="shared" si="4"/>
        <v>1.9396288695308257E-2</v>
      </c>
      <c r="E134" s="31">
        <f t="shared" si="6"/>
        <v>4.2555282482563753E-4</v>
      </c>
      <c r="F134" s="31">
        <f t="shared" si="6"/>
        <v>4.927424662445265E-4</v>
      </c>
      <c r="G134" s="31">
        <f t="shared" si="6"/>
        <v>5.0756896588492403E-4</v>
      </c>
    </row>
    <row r="135" spans="1:7" x14ac:dyDescent="0.25">
      <c r="A135" s="1">
        <f>CALCULATIONS!A130</f>
        <v>644</v>
      </c>
      <c r="B135" s="36">
        <f>PI()*CALCULATIONS!L130</f>
        <v>4.8236644327596554E-4</v>
      </c>
      <c r="C135" s="31">
        <f t="shared" si="3"/>
        <v>1.8857973123059233E-2</v>
      </c>
      <c r="D135" s="30">
        <f t="shared" si="4"/>
        <v>1.9340339566335199E-2</v>
      </c>
      <c r="E135" s="31">
        <f t="shared" si="6"/>
        <v>4.1582014299739248E-4</v>
      </c>
      <c r="F135" s="31">
        <f t="shared" si="6"/>
        <v>4.8235398743520785E-4</v>
      </c>
      <c r="G135" s="31">
        <f t="shared" si="6"/>
        <v>4.971447527771268E-4</v>
      </c>
    </row>
    <row r="136" spans="1:7" x14ac:dyDescent="0.25">
      <c r="A136" s="1">
        <f>CALCULATIONS!A131</f>
        <v>646</v>
      </c>
      <c r="B136" s="36">
        <f>PI()*CALCULATIONS!L131</f>
        <v>4.7155992459336826E-4</v>
      </c>
      <c r="C136" s="31">
        <f t="shared" si="3"/>
        <v>1.8812663075092793E-2</v>
      </c>
      <c r="D136" s="30">
        <f t="shared" si="4"/>
        <v>1.928422299968616E-2</v>
      </c>
      <c r="E136" s="31">
        <f t="shared" si="6"/>
        <v>4.0566464694954257E-4</v>
      </c>
      <c r="F136" s="31">
        <f t="shared" si="6"/>
        <v>4.7154749868025606E-4</v>
      </c>
      <c r="G136" s="31">
        <f t="shared" si="6"/>
        <v>4.8630272625347151E-4</v>
      </c>
    </row>
    <row r="137" spans="1:7" x14ac:dyDescent="0.25">
      <c r="A137" s="1">
        <f>CALCULATIONS!A132</f>
        <v>648</v>
      </c>
      <c r="B137" s="36">
        <f>PI()*CALCULATIONS!L132</f>
        <v>4.6138458425979372E-4</v>
      </c>
      <c r="C137" s="31">
        <f t="shared" si="3"/>
        <v>1.8767601451761793E-2</v>
      </c>
      <c r="D137" s="30">
        <f t="shared" si="4"/>
        <v>1.9228986036021585E-2</v>
      </c>
      <c r="E137" s="31">
        <f t="shared" si="6"/>
        <v>3.9613557257319604E-4</v>
      </c>
      <c r="F137" s="31">
        <f t="shared" si="6"/>
        <v>4.6137218811024075E-4</v>
      </c>
      <c r="G137" s="31">
        <f t="shared" si="6"/>
        <v>4.7609207276021193E-4</v>
      </c>
    </row>
    <row r="138" spans="1:7" x14ac:dyDescent="0.25">
      <c r="A138" s="1">
        <f>CALCULATIONS!A133</f>
        <v>650</v>
      </c>
      <c r="B138" s="36">
        <f>PI()*CALCULATIONS!L133</f>
        <v>4.4989345504261268E-4</v>
      </c>
      <c r="C138" s="31">
        <f t="shared" si="3"/>
        <v>1.8722786130555155E-2</v>
      </c>
      <c r="D138" s="30">
        <f t="shared" si="4"/>
        <v>1.9172679585597766E-2</v>
      </c>
      <c r="E138" s="31">
        <f t="shared" si="6"/>
        <v>3.8528599978625983E-4</v>
      </c>
      <c r="F138" s="31">
        <f t="shared" si="6"/>
        <v>4.498810884939336E-4</v>
      </c>
      <c r="G138" s="31">
        <f t="shared" si="6"/>
        <v>4.6456582340138886E-4</v>
      </c>
    </row>
    <row r="139" spans="1:7" x14ac:dyDescent="0.25">
      <c r="A139" s="1">
        <f>CALCULATIONS!A134</f>
        <v>652</v>
      </c>
      <c r="B139" s="36">
        <f>PI()*CALCULATIONS!L134</f>
        <v>4.3947288210916777E-4</v>
      </c>
      <c r="C139" s="31">
        <f t="shared" si="3"/>
        <v>1.8678215013553646E-2</v>
      </c>
      <c r="D139" s="30">
        <f t="shared" si="4"/>
        <v>1.9117687895662813E-2</v>
      </c>
      <c r="E139" s="31">
        <f t="shared" si="6"/>
        <v>3.7550232030478248E-4</v>
      </c>
      <c r="F139" s="31">
        <f t="shared" si="6"/>
        <v>4.3946054500006507E-4</v>
      </c>
      <c r="G139" s="31">
        <f t="shared" si="6"/>
        <v>4.5411032170027815E-4</v>
      </c>
    </row>
    <row r="140" spans="1:7" x14ac:dyDescent="0.25">
      <c r="A140" s="1">
        <f>CALCULATIONS!A135</f>
        <v>654</v>
      </c>
      <c r="B140" s="36">
        <f>PI()*CALCULATIONS!L135</f>
        <v>4.2764822345616799E-4</v>
      </c>
      <c r="C140" s="31">
        <f t="shared" si="3"/>
        <v>1.8633886027070608E-2</v>
      </c>
      <c r="D140" s="30">
        <f t="shared" si="4"/>
        <v>1.9061534250526778E-2</v>
      </c>
      <c r="E140" s="31">
        <f t="shared" si="6"/>
        <v>3.6430993808177561E-4</v>
      </c>
      <c r="F140" s="31">
        <f t="shared" si="6"/>
        <v>4.2763591562671593E-4</v>
      </c>
      <c r="G140" s="31">
        <f t="shared" si="6"/>
        <v>4.4225092402851857E-4</v>
      </c>
    </row>
    <row r="141" spans="1:7" x14ac:dyDescent="0.25">
      <c r="A141" s="1">
        <f>CALCULATIONS!A136</f>
        <v>656</v>
      </c>
      <c r="B141" s="36">
        <f>PI()*CALCULATIONS!L136</f>
        <v>4.1345379051101183E-4</v>
      </c>
      <c r="C141" s="31">
        <f t="shared" si="3"/>
        <v>1.8589797121299007E-2</v>
      </c>
      <c r="D141" s="30">
        <f t="shared" si="4"/>
        <v>1.9003250911810019E-2</v>
      </c>
      <c r="E141" s="31">
        <f t="shared" si="6"/>
        <v>3.5074320991780941E-4</v>
      </c>
      <c r="F141" s="31">
        <f t="shared" si="6"/>
        <v>4.1344151180262856E-4</v>
      </c>
      <c r="G141" s="31">
        <f t="shared" si="6"/>
        <v>4.2802194020714543E-4</v>
      </c>
    </row>
    <row r="142" spans="1:7" x14ac:dyDescent="0.25">
      <c r="A142" s="1">
        <f>CALCULATIONS!A137</f>
        <v>658</v>
      </c>
      <c r="B142" s="36">
        <f>PI()*CALCULATIONS!L137</f>
        <v>3.9526360741635997E-4</v>
      </c>
      <c r="C142" s="31">
        <f t="shared" ref="C142:C205" si="7">$B$9*POWER(A142/865,-$B$11)</f>
        <v>1.8545946269964662E-2</v>
      </c>
      <c r="D142" s="30">
        <f t="shared" ref="D142:D205" si="8">B142+C142</f>
        <v>1.8941209877381023E-2</v>
      </c>
      <c r="E142" s="31">
        <f t="shared" ref="E142:G173" si="9">$D142-E$9*POWER($A142/865,-E$11)</f>
        <v>3.3317620475467255E-4</v>
      </c>
      <c r="F142" s="31">
        <f t="shared" si="9"/>
        <v>3.9525135767181502E-4</v>
      </c>
      <c r="G142" s="31">
        <f t="shared" si="9"/>
        <v>4.0979739279090738E-4</v>
      </c>
    </row>
    <row r="143" spans="1:7" x14ac:dyDescent="0.25">
      <c r="A143" s="1">
        <f>CALCULATIONS!A138</f>
        <v>660</v>
      </c>
      <c r="B143" s="36">
        <f>PI()*CALCULATIONS!L138</f>
        <v>3.7566877236090067E-4</v>
      </c>
      <c r="C143" s="31">
        <f t="shared" si="7"/>
        <v>1.8502331469985565E-2</v>
      </c>
      <c r="D143" s="30">
        <f t="shared" si="8"/>
        <v>1.8878000242346465E-2</v>
      </c>
      <c r="E143" s="31">
        <f t="shared" si="9"/>
        <v>3.1420006501505296E-4</v>
      </c>
      <c r="F143" s="31">
        <f t="shared" si="9"/>
        <v>3.7565655142427282E-4</v>
      </c>
      <c r="G143" s="31">
        <f t="shared" si="9"/>
        <v>3.9016837839873919E-4</v>
      </c>
    </row>
    <row r="144" spans="1:7" x14ac:dyDescent="0.25">
      <c r="A144" s="1">
        <f>CALCULATIONS!A139</f>
        <v>662</v>
      </c>
      <c r="B144" s="36">
        <f>PI()*CALCULATIONS!L139</f>
        <v>3.5901594435541761E-4</v>
      </c>
      <c r="C144" s="31">
        <f t="shared" si="7"/>
        <v>1.8458950741137146E-2</v>
      </c>
      <c r="D144" s="30">
        <f t="shared" si="8"/>
        <v>1.8817966685492564E-2</v>
      </c>
      <c r="E144" s="31">
        <f t="shared" si="9"/>
        <v>2.9816149338736386E-4</v>
      </c>
      <c r="F144" s="31">
        <f t="shared" si="9"/>
        <v>3.5900375207210608E-4</v>
      </c>
      <c r="G144" s="31">
        <f t="shared" si="9"/>
        <v>3.734815544896089E-4</v>
      </c>
    </row>
    <row r="145" spans="1:7" x14ac:dyDescent="0.25">
      <c r="A145" s="1">
        <f>CALCULATIONS!A140</f>
        <v>664</v>
      </c>
      <c r="B145" s="36">
        <f>PI()*CALCULATIONS!L140</f>
        <v>3.4798636472070931E-4</v>
      </c>
      <c r="C145" s="31">
        <f t="shared" si="7"/>
        <v>1.8415802125723354E-2</v>
      </c>
      <c r="D145" s="30">
        <f t="shared" si="8"/>
        <v>1.8763788490444064E-2</v>
      </c>
      <c r="E145" s="31">
        <f t="shared" si="9"/>
        <v>2.8774177432224629E-4</v>
      </c>
      <c r="F145" s="31">
        <f t="shared" si="9"/>
        <v>3.4797420093740303E-4</v>
      </c>
      <c r="G145" s="31">
        <f t="shared" si="9"/>
        <v>3.6241816085013506E-4</v>
      </c>
    </row>
    <row r="146" spans="1:7" x14ac:dyDescent="0.25">
      <c r="A146" s="1">
        <f>CALCULATIONS!A141</f>
        <v>666</v>
      </c>
      <c r="B146" s="36">
        <f>PI()*CALCULATIONS!L141</f>
        <v>3.4036628729077964E-4</v>
      </c>
      <c r="C146" s="31">
        <f t="shared" si="7"/>
        <v>1.8372883688253443E-2</v>
      </c>
      <c r="D146" s="30">
        <f t="shared" si="8"/>
        <v>1.8713249975544223E-2</v>
      </c>
      <c r="E146" s="31">
        <f t="shared" si="9"/>
        <v>2.807272042442098E-4</v>
      </c>
      <c r="F146" s="31">
        <f t="shared" si="9"/>
        <v>3.4035415185543899E-4</v>
      </c>
      <c r="G146" s="31">
        <f t="shared" si="9"/>
        <v>3.5476444979753649E-4</v>
      </c>
    </row>
    <row r="147" spans="1:7" x14ac:dyDescent="0.25">
      <c r="A147" s="1">
        <f>CALCULATIONS!A142</f>
        <v>668</v>
      </c>
      <c r="B147" s="36">
        <f>PI()*CALCULATIONS!L142</f>
        <v>3.3517902906013875E-4</v>
      </c>
      <c r="C147" s="31">
        <f t="shared" si="7"/>
        <v>1.8330193515124368E-2</v>
      </c>
      <c r="D147" s="30">
        <f t="shared" si="8"/>
        <v>1.8665372544184506E-2</v>
      </c>
      <c r="E147" s="31">
        <f t="shared" si="9"/>
        <v>2.7614114220719799E-4</v>
      </c>
      <c r="F147" s="31">
        <f t="shared" si="9"/>
        <v>3.3516692182199506E-4</v>
      </c>
      <c r="G147" s="31">
        <f t="shared" si="9"/>
        <v>3.49543736826715E-4</v>
      </c>
    </row>
    <row r="148" spans="1:7" x14ac:dyDescent="0.25">
      <c r="A148" s="1">
        <f>CALCULATIONS!A143</f>
        <v>670</v>
      </c>
      <c r="B148" s="36">
        <f>PI()*CALCULATIONS!L143</f>
        <v>3.3026469039793677E-4</v>
      </c>
      <c r="C148" s="31">
        <f t="shared" si="7"/>
        <v>1.8287729714308639E-2</v>
      </c>
      <c r="D148" s="30">
        <f t="shared" si="8"/>
        <v>1.8617994404706576E-2</v>
      </c>
      <c r="E148" s="31">
        <f t="shared" si="9"/>
        <v>2.7182373011688105E-4</v>
      </c>
      <c r="F148" s="31">
        <f t="shared" si="9"/>
        <v>3.3025261120747315E-4</v>
      </c>
      <c r="G148" s="31">
        <f t="shared" si="9"/>
        <v>3.4459612082410676E-4</v>
      </c>
    </row>
    <row r="149" spans="1:7" x14ac:dyDescent="0.25">
      <c r="A149" s="1">
        <f>CALCULATIONS!A144</f>
        <v>672</v>
      </c>
      <c r="B149" s="36">
        <f>PI()*CALCULATIONS!L144</f>
        <v>3.2514880820001325E-4</v>
      </c>
      <c r="C149" s="31">
        <f t="shared" si="7"/>
        <v>1.8245490415047552E-2</v>
      </c>
      <c r="D149" s="30">
        <f t="shared" si="8"/>
        <v>1.8570639223247566E-2</v>
      </c>
      <c r="E149" s="31">
        <f t="shared" si="9"/>
        <v>2.6730054589066063E-4</v>
      </c>
      <c r="F149" s="31">
        <f t="shared" si="9"/>
        <v>3.2513675690894195E-4</v>
      </c>
      <c r="G149" s="31">
        <f t="shared" si="9"/>
        <v>3.3944713721949932E-4</v>
      </c>
    </row>
    <row r="150" spans="1:7" x14ac:dyDescent="0.25">
      <c r="A150" s="1">
        <f>CALCULATIONS!A145</f>
        <v>674</v>
      </c>
      <c r="B150" s="36">
        <f>PI()*CALCULATIONS!L145</f>
        <v>3.2053331536783543E-4</v>
      </c>
      <c r="C150" s="31">
        <f t="shared" si="7"/>
        <v>1.8203473767549667E-2</v>
      </c>
      <c r="D150" s="30">
        <f t="shared" si="8"/>
        <v>1.8524007082917501E-2</v>
      </c>
      <c r="E150" s="31">
        <f t="shared" si="9"/>
        <v>2.6327356294444937E-4</v>
      </c>
      <c r="F150" s="31">
        <f t="shared" si="9"/>
        <v>3.2052129182908937E-4</v>
      </c>
      <c r="G150" s="31">
        <f t="shared" si="9"/>
        <v>3.347987174647446E-4</v>
      </c>
    </row>
    <row r="151" spans="1:7" x14ac:dyDescent="0.25">
      <c r="A151" s="1">
        <f>CALCULATIONS!A146</f>
        <v>676</v>
      </c>
      <c r="B151" s="36">
        <f>PI()*CALCULATIONS!L146</f>
        <v>3.1400580355819688E-4</v>
      </c>
      <c r="C151" s="31">
        <f t="shared" si="7"/>
        <v>1.8161677942694483E-2</v>
      </c>
      <c r="D151" s="30">
        <f t="shared" si="8"/>
        <v>1.8475683746252681E-2</v>
      </c>
      <c r="E151" s="31">
        <f t="shared" si="9"/>
        <v>2.5733041295010126E-4</v>
      </c>
      <c r="F151" s="31">
        <f t="shared" si="9"/>
        <v>3.1399380762592646E-4</v>
      </c>
      <c r="G151" s="31">
        <f t="shared" si="9"/>
        <v>3.2823845178322694E-4</v>
      </c>
    </row>
    <row r="152" spans="1:7" x14ac:dyDescent="0.25">
      <c r="A152" s="1">
        <f>CALCULATIONS!A147</f>
        <v>678</v>
      </c>
      <c r="B152" s="36">
        <f>PI()*CALCULATIONS!L147</f>
        <v>3.0789996278132216E-4</v>
      </c>
      <c r="C152" s="31">
        <f t="shared" si="7"/>
        <v>1.8120101131741086E-2</v>
      </c>
      <c r="D152" s="30">
        <f t="shared" si="8"/>
        <v>1.842800109452241E-2</v>
      </c>
      <c r="E152" s="31">
        <f t="shared" si="9"/>
        <v>2.518048254410224E-4</v>
      </c>
      <c r="F152" s="31">
        <f t="shared" si="9"/>
        <v>3.0788799431086603E-4</v>
      </c>
      <c r="G152" s="31">
        <f t="shared" si="9"/>
        <v>3.2210002876772656E-4</v>
      </c>
    </row>
    <row r="153" spans="1:7" x14ac:dyDescent="0.25">
      <c r="A153" s="1">
        <f>CALCULATIONS!A148</f>
        <v>680</v>
      </c>
      <c r="B153" s="36">
        <f>PI()*CALCULATIONS!L148</f>
        <v>3.019040030400061E-4</v>
      </c>
      <c r="C153" s="31">
        <f t="shared" si="7"/>
        <v>1.8078741546041829E-2</v>
      </c>
      <c r="D153" s="30">
        <f t="shared" si="8"/>
        <v>1.8380645549081833E-2</v>
      </c>
      <c r="E153" s="31">
        <f t="shared" si="9"/>
        <v>2.4638504945877215E-4</v>
      </c>
      <c r="F153" s="31">
        <f t="shared" si="9"/>
        <v>3.0189206188788176E-4</v>
      </c>
      <c r="G153" s="31">
        <f t="shared" si="9"/>
        <v>3.160716570193324E-4</v>
      </c>
    </row>
    <row r="154" spans="1:7" x14ac:dyDescent="0.25">
      <c r="A154" s="1">
        <f>CALCULATIONS!A149</f>
        <v>682</v>
      </c>
      <c r="B154" s="36">
        <f>PI()*CALCULATIONS!L149</f>
        <v>2.9507603607834958E-4</v>
      </c>
      <c r="C154" s="31">
        <f t="shared" si="7"/>
        <v>1.8037597416760798E-2</v>
      </c>
      <c r="D154" s="30">
        <f t="shared" si="8"/>
        <v>1.8332673452839149E-2</v>
      </c>
      <c r="E154" s="31">
        <f t="shared" si="9"/>
        <v>2.4012923530906949E-4</v>
      </c>
      <c r="F154" s="31">
        <f t="shared" si="9"/>
        <v>2.9506412210224958E-4</v>
      </c>
      <c r="G154" s="31">
        <f t="shared" si="9"/>
        <v>3.0921144689597876E-4</v>
      </c>
    </row>
    <row r="155" spans="1:7" x14ac:dyDescent="0.25">
      <c r="A155" s="1">
        <f>CALCULATIONS!A150</f>
        <v>684</v>
      </c>
      <c r="B155" s="36">
        <f>PI()*CALCULATIONS!L150</f>
        <v>2.8757984183021409E-4</v>
      </c>
      <c r="C155" s="31">
        <f t="shared" si="7"/>
        <v>1.7996666994597108E-2</v>
      </c>
      <c r="D155" s="30">
        <f t="shared" si="8"/>
        <v>1.828424683642732E-2</v>
      </c>
      <c r="E155" s="31">
        <f t="shared" si="9"/>
        <v>2.3320120101742378E-4</v>
      </c>
      <c r="F155" s="31">
        <f t="shared" si="9"/>
        <v>2.8756795488898285E-4</v>
      </c>
      <c r="G155" s="31">
        <f t="shared" si="9"/>
        <v>3.0168317696066538E-4</v>
      </c>
    </row>
    <row r="156" spans="1:7" x14ac:dyDescent="0.25">
      <c r="A156" s="1">
        <f>CALCULATIONS!A151</f>
        <v>686</v>
      </c>
      <c r="B156" s="36">
        <f>PI()*CALCULATIONS!L151</f>
        <v>2.7975561502375856E-4</v>
      </c>
      <c r="C156" s="31">
        <f t="shared" si="7"/>
        <v>1.7955948549512747E-2</v>
      </c>
      <c r="D156" s="30">
        <f t="shared" si="8"/>
        <v>1.8235704164536504E-2</v>
      </c>
      <c r="E156" s="31">
        <f t="shared" si="9"/>
        <v>2.2594117894067164E-4</v>
      </c>
      <c r="F156" s="31">
        <f t="shared" si="9"/>
        <v>2.7974375497738166E-4</v>
      </c>
      <c r="G156" s="31">
        <f t="shared" si="9"/>
        <v>2.938270405857743E-4</v>
      </c>
    </row>
    <row r="157" spans="1:7" x14ac:dyDescent="0.25">
      <c r="A157" s="1">
        <f>CALCULATIONS!A152</f>
        <v>688</v>
      </c>
      <c r="B157" s="36">
        <f>PI()*CALCULATIONS!L152</f>
        <v>2.7143708363826631E-4</v>
      </c>
      <c r="C157" s="31">
        <f t="shared" si="7"/>
        <v>1.7915440370465132E-2</v>
      </c>
      <c r="D157" s="30">
        <f t="shared" si="8"/>
        <v>1.8186877454103398E-2</v>
      </c>
      <c r="E157" s="31">
        <f t="shared" si="9"/>
        <v>2.1818293423075258E-4</v>
      </c>
      <c r="F157" s="31">
        <f t="shared" si="9"/>
        <v>2.7142525034786272E-4</v>
      </c>
      <c r="G157" s="31">
        <f t="shared" si="9"/>
        <v>2.8547676440971934E-4</v>
      </c>
    </row>
    <row r="158" spans="1:7" x14ac:dyDescent="0.25">
      <c r="A158" s="1">
        <f>CALCULATIONS!A153</f>
        <v>690</v>
      </c>
      <c r="B158" s="36">
        <f>PI()*CALCULATIONS!L153</f>
        <v>2.627793912861609E-4</v>
      </c>
      <c r="C158" s="31">
        <f t="shared" si="7"/>
        <v>1.7875140765144019E-2</v>
      </c>
      <c r="D158" s="30">
        <f t="shared" si="8"/>
        <v>1.813792015643018E-2</v>
      </c>
      <c r="E158" s="31">
        <f t="shared" si="9"/>
        <v>2.1008164722347705E-4</v>
      </c>
      <c r="F158" s="31">
        <f t="shared" si="9"/>
        <v>2.6276758461396543E-4</v>
      </c>
      <c r="G158" s="31">
        <f t="shared" si="9"/>
        <v>2.7678749071870928E-4</v>
      </c>
    </row>
    <row r="159" spans="1:7" x14ac:dyDescent="0.25">
      <c r="A159" s="1">
        <f>CALCULATIONS!A154</f>
        <v>692</v>
      </c>
      <c r="B159" s="36">
        <f>PI()*CALCULATIONS!L154</f>
        <v>2.5304682999896977E-4</v>
      </c>
      <c r="C159" s="31">
        <f t="shared" si="7"/>
        <v>1.7835048059712887E-2</v>
      </c>
      <c r="D159" s="30">
        <f t="shared" si="8"/>
        <v>1.8088094889711855E-2</v>
      </c>
      <c r="E159" s="31">
        <f t="shared" si="9"/>
        <v>2.0090164623117954E-4</v>
      </c>
      <c r="F159" s="31">
        <f t="shared" si="9"/>
        <v>2.5303504980832628E-4</v>
      </c>
      <c r="G159" s="31">
        <f t="shared" si="9"/>
        <v>2.6702351023255577E-4</v>
      </c>
    </row>
    <row r="160" spans="1:7" x14ac:dyDescent="0.25">
      <c r="A160" s="1">
        <f>CALCULATIONS!A155</f>
        <v>694</v>
      </c>
      <c r="B160" s="36">
        <f>PI()*CALCULATIONS!L155</f>
        <v>2.4268885924666901E-4</v>
      </c>
      <c r="C160" s="31">
        <f t="shared" si="7"/>
        <v>1.7795160598554582E-2</v>
      </c>
      <c r="D160" s="30">
        <f t="shared" si="8"/>
        <v>1.803784945780125E-2</v>
      </c>
      <c r="E160" s="31">
        <f t="shared" si="9"/>
        <v>1.9109242656858982E-4</v>
      </c>
      <c r="F160" s="31">
        <f t="shared" si="9"/>
        <v>2.4267710540200674E-4</v>
      </c>
      <c r="G160" s="31">
        <f t="shared" si="9"/>
        <v>2.5663428112378261E-4</v>
      </c>
    </row>
    <row r="161" spans="1:7" x14ac:dyDescent="0.25">
      <c r="A161" s="1">
        <f>CALCULATIONS!A156</f>
        <v>696</v>
      </c>
      <c r="B161" s="36">
        <f>PI()*CALCULATIONS!L156</f>
        <v>2.3279666583735472E-4</v>
      </c>
      <c r="C161" s="31">
        <f t="shared" si="7"/>
        <v>1.7755476744021219E-2</v>
      </c>
      <c r="D161" s="30">
        <f t="shared" si="8"/>
        <v>1.7988273409858573E-2</v>
      </c>
      <c r="E161" s="31">
        <f t="shared" si="9"/>
        <v>1.8174521045894593E-4</v>
      </c>
      <c r="F161" s="31">
        <f t="shared" si="9"/>
        <v>2.3278493820419466E-4</v>
      </c>
      <c r="G161" s="31">
        <f t="shared" si="9"/>
        <v>2.4671098891712248E-4</v>
      </c>
    </row>
    <row r="162" spans="1:7" x14ac:dyDescent="0.25">
      <c r="A162" s="1">
        <f>CALCULATIONS!A157</f>
        <v>698</v>
      </c>
      <c r="B162" s="36">
        <f>PI()*CALCULATIONS!L157</f>
        <v>2.2139600054715087E-4</v>
      </c>
      <c r="C162" s="31">
        <f t="shared" si="7"/>
        <v>1.771599487618819E-2</v>
      </c>
      <c r="D162" s="30">
        <f t="shared" si="8"/>
        <v>1.7937390876735342E-2</v>
      </c>
      <c r="E162" s="31">
        <f t="shared" si="9"/>
        <v>1.7088578367022503E-4</v>
      </c>
      <c r="F162" s="31">
        <f t="shared" si="9"/>
        <v>2.2138429899207918E-4</v>
      </c>
      <c r="G162" s="31">
        <f t="shared" si="9"/>
        <v>2.3527938311922528E-4</v>
      </c>
    </row>
    <row r="163" spans="1:7" x14ac:dyDescent="0.25">
      <c r="A163" s="1">
        <f>CALCULATIONS!A158</f>
        <v>700</v>
      </c>
      <c r="B163" s="36">
        <f>PI()*CALCULATIONS!L158</f>
        <v>2.0996382771753784E-4</v>
      </c>
      <c r="C163" s="31">
        <f t="shared" si="7"/>
        <v>1.7676713392612262E-2</v>
      </c>
      <c r="D163" s="30">
        <f t="shared" si="8"/>
        <v>1.78866772203298E-2</v>
      </c>
      <c r="E163" s="31">
        <f t="shared" si="9"/>
        <v>1.5999114511868612E-4</v>
      </c>
      <c r="F163" s="31">
        <f t="shared" si="9"/>
        <v>2.0995215210819693E-4</v>
      </c>
      <c r="G163" s="31">
        <f t="shared" si="9"/>
        <v>2.2381642681579272E-4</v>
      </c>
    </row>
    <row r="164" spans="1:7" x14ac:dyDescent="0.25">
      <c r="A164" s="1">
        <f>CALCULATIONS!A159</f>
        <v>702</v>
      </c>
      <c r="B164" s="36">
        <f>PI()*CALCULATIONS!L159</f>
        <v>1.9881739600685109E-4</v>
      </c>
      <c r="C164" s="31">
        <f t="shared" si="7"/>
        <v>1.763763070809363E-2</v>
      </c>
      <c r="D164" s="30">
        <f t="shared" si="8"/>
        <v>1.7836448104100483E-2</v>
      </c>
      <c r="E164" s="31">
        <f t="shared" si="9"/>
        <v>1.4937857762645571E-4</v>
      </c>
      <c r="F164" s="31">
        <f t="shared" si="9"/>
        <v>1.9880574621193581E-4</v>
      </c>
      <c r="G164" s="31">
        <f t="shared" si="9"/>
        <v>2.1263936742289477E-4</v>
      </c>
    </row>
    <row r="165" spans="1:7" x14ac:dyDescent="0.25">
      <c r="A165" s="1">
        <f>CALCULATIONS!A160</f>
        <v>704</v>
      </c>
      <c r="B165" s="36">
        <f>PI()*CALCULATIONS!L160</f>
        <v>1.8761618459958994E-4</v>
      </c>
      <c r="C165" s="31">
        <f t="shared" si="7"/>
        <v>1.7598745254441907E-2</v>
      </c>
      <c r="D165" s="30">
        <f t="shared" si="8"/>
        <v>1.7786361439041498E-2</v>
      </c>
      <c r="E165" s="31">
        <f t="shared" si="9"/>
        <v>1.3870759413683528E-4</v>
      </c>
      <c r="F165" s="31">
        <f t="shared" si="9"/>
        <v>1.8760456048882296E-4</v>
      </c>
      <c r="G165" s="31">
        <f t="shared" si="9"/>
        <v>2.0140768289609798E-4</v>
      </c>
    </row>
    <row r="166" spans="1:7" x14ac:dyDescent="0.25">
      <c r="A166" s="1">
        <f>CALCULATIONS!A161</f>
        <v>706</v>
      </c>
      <c r="B166" s="36">
        <f>PI()*CALCULATIONS!L161</f>
        <v>1.7702327192696605E-4</v>
      </c>
      <c r="C166" s="31">
        <f t="shared" si="7"/>
        <v>1.7560055480245921E-2</v>
      </c>
      <c r="D166" s="30">
        <f t="shared" si="8"/>
        <v>1.7737078752172886E-2</v>
      </c>
      <c r="E166" s="31">
        <f t="shared" si="9"/>
        <v>1.2864130644076391E-4</v>
      </c>
      <c r="F166" s="31">
        <f t="shared" si="9"/>
        <v>1.7701167337109969E-4</v>
      </c>
      <c r="G166" s="31">
        <f t="shared" si="9"/>
        <v>1.9078445045082881E-4</v>
      </c>
    </row>
    <row r="167" spans="1:7" x14ac:dyDescent="0.25">
      <c r="A167" s="1">
        <f>CALCULATIONS!A162</f>
        <v>708</v>
      </c>
      <c r="B167" s="36">
        <f>PI()*CALCULATIONS!L162</f>
        <v>1.6648185581182219E-4</v>
      </c>
      <c r="C167" s="31">
        <f t="shared" si="7"/>
        <v>1.7521559850647267E-2</v>
      </c>
      <c r="D167" s="30">
        <f t="shared" si="8"/>
        <v>1.7688041706459091E-2</v>
      </c>
      <c r="E167" s="31">
        <f t="shared" si="9"/>
        <v>1.1862294532750256E-4</v>
      </c>
      <c r="F167" s="31">
        <f t="shared" si="9"/>
        <v>1.664702826826292E-4</v>
      </c>
      <c r="G167" s="31">
        <f t="shared" si="9"/>
        <v>1.8021286670712525E-4</v>
      </c>
    </row>
    <row r="168" spans="1:7" x14ac:dyDescent="0.25">
      <c r="A168" s="1">
        <f>CALCULATIONS!A163</f>
        <v>710</v>
      </c>
      <c r="B168" s="36">
        <f>PI()*CALCULATIONS!L163</f>
        <v>1.5579713697660478E-4</v>
      </c>
      <c r="C168" s="31">
        <f t="shared" si="7"/>
        <v>1.7483256847117559E-2</v>
      </c>
      <c r="D168" s="30">
        <f t="shared" si="8"/>
        <v>1.7639053984094166E-2</v>
      </c>
      <c r="E168" s="31">
        <f t="shared" si="9"/>
        <v>1.084577440982927E-4</v>
      </c>
      <c r="F168" s="31">
        <f t="shared" si="9"/>
        <v>1.5578558914684792E-4</v>
      </c>
      <c r="G168" s="31">
        <f t="shared" si="9"/>
        <v>1.694981311974042E-4</v>
      </c>
    </row>
    <row r="169" spans="1:7" x14ac:dyDescent="0.25">
      <c r="A169" s="1">
        <f>CALCULATIONS!A164</f>
        <v>712</v>
      </c>
      <c r="B169" s="36">
        <f>PI()*CALCULATIONS!L164</f>
        <v>1.4524146109637918E-4</v>
      </c>
      <c r="C169" s="31">
        <f t="shared" si="7"/>
        <v>1.7445144967239298E-2</v>
      </c>
      <c r="D169" s="30">
        <f t="shared" si="8"/>
        <v>1.7590386428335679E-2</v>
      </c>
      <c r="E169" s="31">
        <f t="shared" si="9"/>
        <v>9.8418080624992216E-5</v>
      </c>
      <c r="F169" s="31">
        <f t="shared" si="9"/>
        <v>1.452299384398191E-4</v>
      </c>
      <c r="G169" s="31">
        <f t="shared" si="9"/>
        <v>1.5891258841935207E-4</v>
      </c>
    </row>
    <row r="170" spans="1:7" x14ac:dyDescent="0.25">
      <c r="A170" s="1">
        <f>CALCULATIONS!A165</f>
        <v>714</v>
      </c>
      <c r="B170" s="36">
        <f>PI()*CALCULATIONS!L165</f>
        <v>1.3471536348200094E-4</v>
      </c>
      <c r="C170" s="31">
        <f t="shared" si="7"/>
        <v>1.740722272449027E-2</v>
      </c>
      <c r="D170" s="30">
        <f t="shared" si="8"/>
        <v>1.7541938087972272E-2</v>
      </c>
      <c r="E170" s="31">
        <f t="shared" si="9"/>
        <v>8.8404522038731947E-5</v>
      </c>
      <c r="F170" s="31">
        <f t="shared" si="9"/>
        <v>1.3470386587338332E-4</v>
      </c>
      <c r="G170" s="31">
        <f t="shared" si="9"/>
        <v>1.4835677251888446E-4</v>
      </c>
    </row>
    <row r="171" spans="1:7" x14ac:dyDescent="0.25">
      <c r="A171" s="1">
        <f>CALCULATIONS!A166</f>
        <v>716</v>
      </c>
      <c r="B171" s="36">
        <f>PI()*CALCULATIONS!L166</f>
        <v>1.2395173014759215E-4</v>
      </c>
      <c r="C171" s="31">
        <f t="shared" si="7"/>
        <v>1.7369488648031433E-2</v>
      </c>
      <c r="D171" s="30">
        <f t="shared" si="8"/>
        <v>1.7493440378179025E-2</v>
      </c>
      <c r="E171" s="31">
        <f t="shared" si="9"/>
        <v>7.8149985802789673E-5</v>
      </c>
      <c r="F171" s="31">
        <f t="shared" si="9"/>
        <v>1.2394025746263054E-4</v>
      </c>
      <c r="G171" s="31">
        <f t="shared" si="9"/>
        <v>1.3756356835748287E-4</v>
      </c>
    </row>
    <row r="172" spans="1:7" x14ac:dyDescent="0.25">
      <c r="A172" s="1">
        <f>CALCULATIONS!A167</f>
        <v>718</v>
      </c>
      <c r="B172" s="36">
        <f>PI()*CALCULATIONS!L167</f>
        <v>1.1352453138522345E-4</v>
      </c>
      <c r="C172" s="31">
        <f t="shared" si="7"/>
        <v>1.7331941282498212E-2</v>
      </c>
      <c r="D172" s="30">
        <f t="shared" si="8"/>
        <v>1.7445465813883437E-2</v>
      </c>
      <c r="E172" s="31">
        <f t="shared" si="9"/>
        <v>6.8228473292561431E-5</v>
      </c>
      <c r="F172" s="31">
        <f t="shared" si="9"/>
        <v>1.1351308350059791E-4</v>
      </c>
      <c r="G172" s="31">
        <f t="shared" si="9"/>
        <v>1.271069450867017E-4</v>
      </c>
    </row>
    <row r="173" spans="1:7" x14ac:dyDescent="0.25">
      <c r="A173" s="1">
        <f>CALCULATIONS!A168</f>
        <v>720</v>
      </c>
      <c r="B173" s="36">
        <f>PI()*CALCULATIONS!L168</f>
        <v>1.0371509252807973E-4</v>
      </c>
      <c r="C173" s="31">
        <f t="shared" si="7"/>
        <v>1.7294579187795169E-2</v>
      </c>
      <c r="D173" s="30">
        <f t="shared" si="8"/>
        <v>1.7398294280323249E-2</v>
      </c>
      <c r="E173" s="31">
        <f t="shared" si="9"/>
        <v>5.8921340564014463E-5</v>
      </c>
      <c r="F173" s="31">
        <f t="shared" si="9"/>
        <v>1.0370366932141439E-4</v>
      </c>
      <c r="G173" s="31">
        <f t="shared" si="9"/>
        <v>1.1726822691117411E-4</v>
      </c>
    </row>
    <row r="174" spans="1:7" x14ac:dyDescent="0.25">
      <c r="A174" s="1">
        <f>CALCULATIONS!A169</f>
        <v>722</v>
      </c>
      <c r="B174" s="36">
        <f>PI()*CALCULATIONS!L169</f>
        <v>9.4528156307208293E-5</v>
      </c>
      <c r="C174" s="31">
        <f t="shared" si="7"/>
        <v>1.725740093889392E-2</v>
      </c>
      <c r="D174" s="30">
        <f t="shared" si="8"/>
        <v>1.7351929095201127E-2</v>
      </c>
      <c r="E174" s="31">
        <f t="shared" ref="E174:G205" si="10">$D174-E$9*POWER($A174/865,-E$11)</f>
        <v>5.0233360715495889E-5</v>
      </c>
      <c r="F174" s="31">
        <f t="shared" si="10"/>
        <v>9.4516757657068379E-5</v>
      </c>
      <c r="G174" s="31">
        <f t="shared" si="10"/>
        <v>1.0805215544520616E-4</v>
      </c>
    </row>
    <row r="175" spans="1:7" x14ac:dyDescent="0.25">
      <c r="A175" s="1">
        <f>CALCULATIONS!A170</f>
        <v>724</v>
      </c>
      <c r="B175" s="36">
        <f>PI()*CALCULATIONS!L170</f>
        <v>8.6396830422197374E-5</v>
      </c>
      <c r="C175" s="31">
        <f t="shared" si="7"/>
        <v>1.7220405125634299E-2</v>
      </c>
      <c r="D175" s="30">
        <f t="shared" si="8"/>
        <v>1.7306801956056498E-2</v>
      </c>
      <c r="E175" s="31">
        <f t="shared" si="10"/>
        <v>4.259767146350818E-5</v>
      </c>
      <c r="F175" s="31">
        <f t="shared" si="10"/>
        <v>8.638545620808652E-5</v>
      </c>
      <c r="G175" s="31">
        <f t="shared" si="10"/>
        <v>9.9891837283296037E-5</v>
      </c>
    </row>
    <row r="176" spans="1:7" x14ac:dyDescent="0.25">
      <c r="A176" s="1">
        <f>CALCULATIONS!A171</f>
        <v>726</v>
      </c>
      <c r="B176" s="36">
        <f>PI()*CALCULATIONS!L171</f>
        <v>7.9293546065746902E-5</v>
      </c>
      <c r="C176" s="31">
        <f t="shared" si="7"/>
        <v>1.7183590352528692E-2</v>
      </c>
      <c r="D176" s="30">
        <f t="shared" si="8"/>
        <v>1.7262883898594438E-2</v>
      </c>
      <c r="E176" s="31">
        <f t="shared" si="10"/>
        <v>3.5986733672187243E-5</v>
      </c>
      <c r="F176" s="31">
        <f t="shared" si="10"/>
        <v>7.9282196168085212E-5</v>
      </c>
      <c r="G176" s="31">
        <f t="shared" si="10"/>
        <v>9.2759702524543297E-5</v>
      </c>
    </row>
    <row r="177" spans="1:7" x14ac:dyDescent="0.25">
      <c r="A177" s="1">
        <f>CALCULATIONS!A172</f>
        <v>728</v>
      </c>
      <c r="B177" s="36">
        <f>PI()*CALCULATIONS!L172</f>
        <v>7.2623272648197055E-5</v>
      </c>
      <c r="C177" s="31">
        <f t="shared" si="7"/>
        <v>1.7146955238569461E-2</v>
      </c>
      <c r="D177" s="30">
        <f t="shared" si="8"/>
        <v>1.7219578511217658E-2</v>
      </c>
      <c r="E177" s="31">
        <f t="shared" si="10"/>
        <v>2.9805546082790901E-5</v>
      </c>
      <c r="F177" s="31">
        <f t="shared" si="10"/>
        <v>7.2611946948318573E-5</v>
      </c>
      <c r="G177" s="31">
        <f t="shared" si="10"/>
        <v>8.6060719497047661E-5</v>
      </c>
    </row>
    <row r="178" spans="1:7" x14ac:dyDescent="0.25">
      <c r="A178" s="1">
        <f>CALCULATIONS!A173</f>
        <v>730</v>
      </c>
      <c r="B178" s="36">
        <f>PI()*CALCULATIONS!L173</f>
        <v>6.6133899321207644E-5</v>
      </c>
      <c r="C178" s="31">
        <f t="shared" si="7"/>
        <v>1.7110498417039426E-2</v>
      </c>
      <c r="D178" s="30">
        <f t="shared" si="8"/>
        <v>1.7176632316360633E-2</v>
      </c>
      <c r="E178" s="31">
        <f t="shared" si="10"/>
        <v>2.3802026842087431E-5</v>
      </c>
      <c r="F178" s="31">
        <f t="shared" si="10"/>
        <v>6.612259770134854E-5</v>
      </c>
      <c r="G178" s="31">
        <f t="shared" si="10"/>
        <v>7.9542776281426447E-5</v>
      </c>
    </row>
    <row r="179" spans="1:7" x14ac:dyDescent="0.25">
      <c r="A179" s="1">
        <f>CALCULATIONS!A174</f>
        <v>732</v>
      </c>
      <c r="B179" s="36">
        <f>PI()*CALCULATIONS!L174</f>
        <v>5.9556485178880447E-5</v>
      </c>
      <c r="C179" s="31">
        <f t="shared" si="7"/>
        <v>1.7074218535325342E-2</v>
      </c>
      <c r="D179" s="30">
        <f t="shared" si="8"/>
        <v>1.7133775020504224E-2</v>
      </c>
      <c r="E179" s="31">
        <f t="shared" si="10"/>
        <v>1.7707263708248433E-5</v>
      </c>
      <c r="F179" s="31">
        <f t="shared" si="10"/>
        <v>5.9545207522170712E-5</v>
      </c>
      <c r="G179" s="31">
        <f t="shared" si="10"/>
        <v>7.2936930911777359E-5</v>
      </c>
    </row>
    <row r="180" spans="1:7" x14ac:dyDescent="0.25">
      <c r="A180" s="1">
        <f>CALCULATIONS!A175</f>
        <v>734</v>
      </c>
      <c r="B180" s="36">
        <f>PI()*CALCULATIONS!L175</f>
        <v>5.3059995231582057E-5</v>
      </c>
      <c r="C180" s="31">
        <f t="shared" si="7"/>
        <v>1.70381142547343E-2</v>
      </c>
      <c r="D180" s="30">
        <f t="shared" si="8"/>
        <v>1.7091174249965882E-2</v>
      </c>
      <c r="E180" s="31">
        <f t="shared" si="10"/>
        <v>1.1690250029290639E-5</v>
      </c>
      <c r="F180" s="31">
        <f t="shared" si="10"/>
        <v>5.3048741422034862E-5</v>
      </c>
      <c r="G180" s="31">
        <f t="shared" si="10"/>
        <v>6.6412147349391437E-5</v>
      </c>
    </row>
    <row r="181" spans="1:7" x14ac:dyDescent="0.25">
      <c r="A181" s="1">
        <f>CALCULATIONS!A176</f>
        <v>736</v>
      </c>
      <c r="B181" s="36">
        <f>PI()*CALCULATIONS!L176</f>
        <v>4.7535446178739386E-5</v>
      </c>
      <c r="C181" s="31">
        <f t="shared" si="7"/>
        <v>1.7002184250313017E-2</v>
      </c>
      <c r="D181" s="30">
        <f t="shared" si="8"/>
        <v>1.7049719696491758E-2</v>
      </c>
      <c r="E181" s="31">
        <f t="shared" si="10"/>
        <v>6.6420305204345498E-6</v>
      </c>
      <c r="F181" s="31">
        <f t="shared" si="10"/>
        <v>4.7524216101248185E-5</v>
      </c>
      <c r="G181" s="31">
        <f t="shared" si="10"/>
        <v>6.0859441255375901E-5</v>
      </c>
    </row>
    <row r="182" spans="1:7" x14ac:dyDescent="0.25">
      <c r="A182" s="1">
        <f>CALCULATIONS!A177</f>
        <v>738</v>
      </c>
      <c r="B182" s="36">
        <f>PI()*CALCULATIONS!L177</f>
        <v>4.3517401050481016E-5</v>
      </c>
      <c r="C182" s="31">
        <f t="shared" si="7"/>
        <v>1.6966427210669963E-2</v>
      </c>
      <c r="D182" s="30">
        <f t="shared" si="8"/>
        <v>1.7009944611720444E-2</v>
      </c>
      <c r="E182" s="31">
        <f t="shared" si="10"/>
        <v>3.0971959102121804E-6</v>
      </c>
      <c r="F182" s="31">
        <f t="shared" si="10"/>
        <v>4.3506194590797048E-5</v>
      </c>
      <c r="G182" s="31">
        <f t="shared" si="10"/>
        <v>5.6813374632161406E-5</v>
      </c>
    </row>
    <row r="183" spans="1:7" x14ac:dyDescent="0.25">
      <c r="A183" s="1">
        <f>CALCULATIONS!A178</f>
        <v>740</v>
      </c>
      <c r="B183" s="36">
        <f>PI()*CALCULATIONS!L178</f>
        <v>4.0861948173967225E-5</v>
      </c>
      <c r="C183" s="31">
        <f t="shared" si="7"/>
        <v>1.6930841837800251E-2</v>
      </c>
      <c r="D183" s="30">
        <f t="shared" si="8"/>
        <v>1.6971703785974217E-2</v>
      </c>
      <c r="E183" s="31">
        <f t="shared" si="10"/>
        <v>9.1186191125344762E-7</v>
      </c>
      <c r="F183" s="31">
        <f t="shared" si="10"/>
        <v>4.0850765218699431E-5</v>
      </c>
      <c r="G183" s="31">
        <f t="shared" si="10"/>
        <v>5.4130034789715703E-5</v>
      </c>
    </row>
    <row r="184" spans="1:7" x14ac:dyDescent="0.25">
      <c r="A184" s="1">
        <f>CALCULATIONS!A179</f>
        <v>742</v>
      </c>
      <c r="B184" s="36">
        <f>PI()*CALCULATIONS!L179</f>
        <v>3.9166182789013273E-5</v>
      </c>
      <c r="C184" s="31">
        <f t="shared" si="7"/>
        <v>1.6895426846913277E-2</v>
      </c>
      <c r="D184" s="30">
        <f t="shared" si="8"/>
        <v>1.693459302970229E-2</v>
      </c>
      <c r="E184" s="31">
        <f t="shared" si="10"/>
        <v>-3.1684915979129924E-7</v>
      </c>
      <c r="F184" s="31">
        <f t="shared" si="10"/>
        <v>3.9155023225632274E-5</v>
      </c>
      <c r="G184" s="31">
        <f t="shared" si="10"/>
        <v>5.2406515961014866E-5</v>
      </c>
    </row>
    <row r="185" spans="1:7" x14ac:dyDescent="0.25">
      <c r="A185" s="1">
        <f>CALCULATIONS!A180</f>
        <v>744</v>
      </c>
      <c r="B185" s="36">
        <f>PI()*CALCULATIONS!L180</f>
        <v>3.8178602151985107E-5</v>
      </c>
      <c r="C185" s="31">
        <f t="shared" si="7"/>
        <v>1.6860180966262985E-2</v>
      </c>
      <c r="D185" s="30">
        <f t="shared" si="8"/>
        <v>1.689835956841497E-2</v>
      </c>
      <c r="E185" s="31">
        <f t="shared" si="10"/>
        <v>-8.404132741009207E-7</v>
      </c>
      <c r="F185" s="31">
        <f t="shared" si="10"/>
        <v>3.8167465868783196E-5</v>
      </c>
      <c r="G185" s="31">
        <f t="shared" si="10"/>
        <v>5.1391314405794392E-5</v>
      </c>
    </row>
    <row r="186" spans="1:7" x14ac:dyDescent="0.25">
      <c r="A186" s="1">
        <f>CALCULATIONS!A181</f>
        <v>746</v>
      </c>
      <c r="B186" s="36">
        <f>PI()*CALCULATIONS!L181</f>
        <v>3.749750563399907E-5</v>
      </c>
      <c r="C186" s="31">
        <f t="shared" si="7"/>
        <v>1.6825102936980849E-2</v>
      </c>
      <c r="D186" s="30">
        <f t="shared" si="8"/>
        <v>1.6862600442614846E-2</v>
      </c>
      <c r="E186" s="31">
        <f t="shared" si="10"/>
        <v>-1.0605045882260133E-6</v>
      </c>
      <c r="F186" s="31">
        <f t="shared" si="10"/>
        <v>3.7486392520116874E-5</v>
      </c>
      <c r="G186" s="31">
        <f t="shared" si="10"/>
        <v>5.068272850864558E-5</v>
      </c>
    </row>
    <row r="187" spans="1:7" x14ac:dyDescent="0.25">
      <c r="A187" s="1">
        <f>CALCULATIONS!A182</f>
        <v>748</v>
      </c>
      <c r="B187" s="36">
        <f>PI()*CALCULATIONS!L182</f>
        <v>3.697410633959549E-5</v>
      </c>
      <c r="C187" s="31">
        <f t="shared" si="7"/>
        <v>1.6790191512911338E-2</v>
      </c>
      <c r="D187" s="30">
        <f t="shared" si="8"/>
        <v>1.6827165619250933E-2</v>
      </c>
      <c r="E187" s="31">
        <f t="shared" si="10"/>
        <v>-1.125883821357504E-6</v>
      </c>
      <c r="F187" s="31">
        <f t="shared" si="10"/>
        <v>3.6963016284984745E-5</v>
      </c>
      <c r="G187" s="31">
        <f t="shared" si="10"/>
        <v>5.0131970397541969E-5</v>
      </c>
    </row>
    <row r="188" spans="1:7" x14ac:dyDescent="0.25">
      <c r="A188" s="1">
        <f>CALCULATIONS!A183</f>
        <v>750</v>
      </c>
      <c r="B188" s="36">
        <f>PI()*CALCULATIONS!L183</f>
        <v>3.656424228285043E-5</v>
      </c>
      <c r="C188" s="31">
        <f t="shared" si="7"/>
        <v>1.6755445460449988E-2</v>
      </c>
      <c r="D188" s="30">
        <f t="shared" si="8"/>
        <v>1.6792009702732837E-2</v>
      </c>
      <c r="E188" s="31">
        <f t="shared" si="10"/>
        <v>-1.0806870751126074E-6</v>
      </c>
      <c r="F188" s="31">
        <f t="shared" si="10"/>
        <v>3.655317517828327E-5</v>
      </c>
      <c r="G188" s="31">
        <f t="shared" si="10"/>
        <v>4.9694877119827591E-5</v>
      </c>
    </row>
    <row r="189" spans="1:7" x14ac:dyDescent="0.25">
      <c r="A189" s="1">
        <f>CALCULATIONS!A184</f>
        <v>752</v>
      </c>
      <c r="B189" s="36">
        <f>PI()*CALCULATIONS!L184</f>
        <v>3.6212673457917022E-5</v>
      </c>
      <c r="C189" s="31">
        <f t="shared" si="7"/>
        <v>1.6720863558383921E-2</v>
      </c>
      <c r="D189" s="30">
        <f t="shared" si="8"/>
        <v>1.675707623184184E-2</v>
      </c>
      <c r="E189" s="31">
        <f t="shared" si="10"/>
        <v>-9.8012875901498653E-7</v>
      </c>
      <c r="F189" s="31">
        <f t="shared" si="10"/>
        <v>3.6201629194973495E-5</v>
      </c>
      <c r="G189" s="31">
        <f t="shared" si="10"/>
        <v>4.9316207712635923E-5</v>
      </c>
    </row>
    <row r="190" spans="1:7" x14ac:dyDescent="0.25">
      <c r="A190" s="1">
        <f>CALCULATIONS!A185</f>
        <v>754</v>
      </c>
      <c r="B190" s="36">
        <f>PI()*CALCULATIONS!L185</f>
        <v>3.5884671789130046E-5</v>
      </c>
      <c r="C190" s="31">
        <f t="shared" si="7"/>
        <v>1.6686444597734836E-2</v>
      </c>
      <c r="D190" s="30">
        <f t="shared" si="8"/>
        <v>1.6722329269523967E-2</v>
      </c>
      <c r="E190" s="31">
        <f t="shared" si="10"/>
        <v>-8.589116364532412E-7</v>
      </c>
      <c r="F190" s="31">
        <f t="shared" si="10"/>
        <v>3.5873650260181272E-5</v>
      </c>
      <c r="G190" s="31">
        <f t="shared" si="10"/>
        <v>4.8961233152865213E-5</v>
      </c>
    </row>
    <row r="191" spans="1:7" x14ac:dyDescent="0.25">
      <c r="A191" s="1">
        <f>CALCULATIONS!A186</f>
        <v>756</v>
      </c>
      <c r="B191" s="36">
        <f>PI()*CALCULATIONS!L186</f>
        <v>3.5562725875039617E-5</v>
      </c>
      <c r="C191" s="31">
        <f t="shared" si="7"/>
        <v>1.6652187381604379E-2</v>
      </c>
      <c r="D191" s="30">
        <f t="shared" si="8"/>
        <v>1.6687750107479419E-2</v>
      </c>
      <c r="E191" s="31">
        <f t="shared" si="10"/>
        <v>-7.3452207677640602E-7</v>
      </c>
      <c r="F191" s="31">
        <f t="shared" si="10"/>
        <v>3.555172697325068E-5</v>
      </c>
      <c r="G191" s="31">
        <f t="shared" si="10"/>
        <v>4.8612441101103521E-5</v>
      </c>
    </row>
    <row r="192" spans="1:7" x14ac:dyDescent="0.25">
      <c r="A192" s="1">
        <f>CALCULATIONS!A187</f>
        <v>758</v>
      </c>
      <c r="B192" s="36">
        <f>PI()*CALCULATIONS!L187</f>
        <v>3.5217369013128992E-5</v>
      </c>
      <c r="C192" s="31">
        <f t="shared" si="7"/>
        <v>1.6618090725021874E-2</v>
      </c>
      <c r="D192" s="30">
        <f t="shared" si="8"/>
        <v>1.6653308094035004E-2</v>
      </c>
      <c r="E192" s="31">
        <f t="shared" si="10"/>
        <v>-6.36402026788635E-7</v>
      </c>
      <c r="F192" s="31">
        <f t="shared" si="10"/>
        <v>3.5206392632457228E-5</v>
      </c>
      <c r="G192" s="31">
        <f t="shared" si="10"/>
        <v>4.8240363926220498E-5</v>
      </c>
    </row>
    <row r="193" spans="1:7" x14ac:dyDescent="0.25">
      <c r="A193" s="1">
        <f>CALCULATIONS!A188</f>
        <v>760</v>
      </c>
      <c r="B193" s="36">
        <f>PI()*CALCULATIONS!L188</f>
        <v>3.4882282712737385E-5</v>
      </c>
      <c r="C193" s="31">
        <f t="shared" si="7"/>
        <v>1.658415345479438E-2</v>
      </c>
      <c r="D193" s="30">
        <f t="shared" si="8"/>
        <v>1.6619035737507119E-2</v>
      </c>
      <c r="E193" s="31">
        <f t="shared" si="10"/>
        <v>-5.3084549407958481E-7</v>
      </c>
      <c r="F193" s="31">
        <f t="shared" si="10"/>
        <v>3.487132874789925E-5</v>
      </c>
      <c r="G193" s="31">
        <f t="shared" si="10"/>
        <v>4.7878682218158164E-5</v>
      </c>
    </row>
    <row r="194" spans="1:7" x14ac:dyDescent="0.25">
      <c r="A194" s="1">
        <f>CALCULATIONS!A189</f>
        <v>762</v>
      </c>
      <c r="B194" s="36">
        <f>PI()*CALCULATIONS!L189</f>
        <v>3.4625703211986174E-5</v>
      </c>
      <c r="C194" s="31">
        <f t="shared" si="7"/>
        <v>1.6550374409359012E-2</v>
      </c>
      <c r="D194" s="30">
        <f t="shared" si="8"/>
        <v>1.6585000112570997E-2</v>
      </c>
      <c r="E194" s="31">
        <f t="shared" si="10"/>
        <v>-3.4959202639336939E-7</v>
      </c>
      <c r="F194" s="31">
        <f t="shared" si="10"/>
        <v>3.4614771558472146E-5</v>
      </c>
      <c r="G194" s="31">
        <f t="shared" si="10"/>
        <v>4.7595631304762909E-5</v>
      </c>
    </row>
    <row r="195" spans="1:7" x14ac:dyDescent="0.25">
      <c r="A195" s="1">
        <f>CALCULATIONS!A190</f>
        <v>764</v>
      </c>
      <c r="B195" s="36">
        <f>PI()*CALCULATIONS!L190</f>
        <v>3.438988214020947E-5</v>
      </c>
      <c r="C195" s="31">
        <f t="shared" si="7"/>
        <v>1.65167524386375E-2</v>
      </c>
      <c r="D195" s="30">
        <f t="shared" si="8"/>
        <v>1.6551142320777711E-2</v>
      </c>
      <c r="E195" s="31">
        <f t="shared" si="10"/>
        <v>-1.5036604560439426E-7</v>
      </c>
      <c r="F195" s="31">
        <f t="shared" si="10"/>
        <v>3.4378972694277393E-5</v>
      </c>
      <c r="G195" s="31">
        <f t="shared" si="10"/>
        <v>4.7333461914107755E-5</v>
      </c>
    </row>
    <row r="196" spans="1:7" x14ac:dyDescent="0.25">
      <c r="A196" s="1">
        <f>CALCULATIONS!A191</f>
        <v>766</v>
      </c>
      <c r="B196" s="36">
        <f>PI()*CALCULATIONS!L191</f>
        <v>3.4218799260700663E-5</v>
      </c>
      <c r="C196" s="31">
        <f t="shared" si="7"/>
        <v>1.6483286403892926E-2</v>
      </c>
      <c r="D196" s="30">
        <f t="shared" si="8"/>
        <v>1.6517505203153628E-2</v>
      </c>
      <c r="E196" s="31">
        <f t="shared" si="10"/>
        <v>1.1083589859448018E-7</v>
      </c>
      <c r="F196" s="31">
        <f t="shared" si="10"/>
        <v>3.4207911919350437E-5</v>
      </c>
      <c r="G196" s="31">
        <f t="shared" si="10"/>
        <v>4.7136152917081481E-5</v>
      </c>
    </row>
    <row r="197" spans="1:7" x14ac:dyDescent="0.25">
      <c r="A197" s="1">
        <f>CALCULATIONS!A192</f>
        <v>768</v>
      </c>
      <c r="B197" s="36">
        <f>PI()*CALCULATIONS!L192</f>
        <v>3.4111766291217349E-5</v>
      </c>
      <c r="C197" s="31">
        <f t="shared" si="7"/>
        <v>1.6449975177588661E-2</v>
      </c>
      <c r="D197" s="30">
        <f t="shared" si="8"/>
        <v>1.6484086943879879E-2</v>
      </c>
      <c r="E197" s="31">
        <f t="shared" si="10"/>
        <v>4.3334895274277363E-7</v>
      </c>
      <c r="F197" s="31">
        <f t="shared" si="10"/>
        <v>3.4100900952196977E-5</v>
      </c>
      <c r="G197" s="31">
        <f t="shared" si="10"/>
        <v>4.7003015147841637E-5</v>
      </c>
    </row>
    <row r="198" spans="1:7" x14ac:dyDescent="0.25">
      <c r="A198" s="1">
        <f>CALCULATIONS!A193</f>
        <v>770</v>
      </c>
      <c r="B198" s="36">
        <f>PI()*CALCULATIONS!L193</f>
        <v>3.3978504742915547E-5</v>
      </c>
      <c r="C198" s="31">
        <f t="shared" si="7"/>
        <v>1.6416817643249353E-2</v>
      </c>
      <c r="D198" s="30">
        <f t="shared" si="8"/>
        <v>1.6450796147992268E-2</v>
      </c>
      <c r="E198" s="31">
        <f t="shared" si="10"/>
        <v>7.2691780194505951E-7</v>
      </c>
      <c r="F198" s="31">
        <f t="shared" si="10"/>
        <v>3.3967661304704772E-5</v>
      </c>
      <c r="G198" s="31">
        <f t="shared" si="10"/>
        <v>4.6843769242597977E-5</v>
      </c>
    </row>
    <row r="199" spans="1:7" x14ac:dyDescent="0.25">
      <c r="A199" s="1">
        <f>CALCULATIONS!A194</f>
        <v>772</v>
      </c>
      <c r="B199" s="36">
        <f>PI()*CALCULATIONS!L194</f>
        <v>3.3837564080171449E-5</v>
      </c>
      <c r="C199" s="31">
        <f t="shared" si="7"/>
        <v>1.6383812695324063E-2</v>
      </c>
      <c r="D199" s="30">
        <f t="shared" si="8"/>
        <v>1.6417650259404233E-2</v>
      </c>
      <c r="E199" s="31">
        <f t="shared" si="10"/>
        <v>1.0101148331560783E-6</v>
      </c>
      <c r="F199" s="31">
        <f t="shared" si="10"/>
        <v>3.382674244199052E-5</v>
      </c>
      <c r="G199" s="31">
        <f t="shared" si="10"/>
        <v>4.6676963799351795E-5</v>
      </c>
    </row>
    <row r="200" spans="1:7" x14ac:dyDescent="0.25">
      <c r="A200" s="1">
        <f>CALCULATIONS!A195</f>
        <v>774</v>
      </c>
      <c r="B200" s="36">
        <f>PI()*CALCULATIONS!L195</f>
        <v>3.3843171125325052E-5</v>
      </c>
      <c r="C200" s="31">
        <f t="shared" si="7"/>
        <v>1.6350959239051381E-2</v>
      </c>
      <c r="D200" s="30">
        <f t="shared" si="8"/>
        <v>1.6384802410176705E-2</v>
      </c>
      <c r="E200" s="31">
        <f t="shared" si="10"/>
        <v>1.4371895431901371E-6</v>
      </c>
      <c r="F200" s="31">
        <f t="shared" si="10"/>
        <v>3.3832371187113297E-5</v>
      </c>
      <c r="G200" s="31">
        <f t="shared" si="10"/>
        <v>4.6656824782522616E-5</v>
      </c>
    </row>
    <row r="201" spans="1:7" x14ac:dyDescent="0.25">
      <c r="A201" s="1">
        <f>CALCULATIONS!A196</f>
        <v>776</v>
      </c>
      <c r="B201" s="36">
        <f>PI()*CALCULATIONS!L196</f>
        <v>3.3890349849717104E-5</v>
      </c>
      <c r="C201" s="31">
        <f t="shared" si="7"/>
        <v>1.6318256190326612E-2</v>
      </c>
      <c r="D201" s="30">
        <f t="shared" si="8"/>
        <v>1.6352146540176329E-2</v>
      </c>
      <c r="E201" s="31">
        <f t="shared" si="10"/>
        <v>1.903188333124417E-6</v>
      </c>
      <c r="F201" s="31">
        <f t="shared" si="10"/>
        <v>3.3879571512129836E-5</v>
      </c>
      <c r="G201" s="31">
        <f t="shared" si="10"/>
        <v>4.6678375313868176E-5</v>
      </c>
    </row>
    <row r="202" spans="1:7" x14ac:dyDescent="0.25">
      <c r="A202" s="1">
        <f>CALCULATIONS!A197</f>
        <v>778</v>
      </c>
      <c r="B202" s="36">
        <f>PI()*CALCULATIONS!L197</f>
        <v>3.393218417381689E-5</v>
      </c>
      <c r="C202" s="31">
        <f t="shared" si="7"/>
        <v>1.6285702475570873E-2</v>
      </c>
      <c r="D202" s="30">
        <f t="shared" si="8"/>
        <v>1.6319634659744689E-2</v>
      </c>
      <c r="E202" s="31">
        <f t="shared" si="10"/>
        <v>2.3612173116055457E-6</v>
      </c>
      <c r="F202" s="31">
        <f t="shared" si="10"/>
        <v>3.3921427338212684E-5</v>
      </c>
      <c r="G202" s="31">
        <f t="shared" si="10"/>
        <v>4.6694698472529717E-5</v>
      </c>
    </row>
    <row r="203" spans="1:7" x14ac:dyDescent="0.25">
      <c r="A203" s="1">
        <f>CALCULATIONS!A198</f>
        <v>780</v>
      </c>
      <c r="B203" s="36">
        <f>PI()*CALCULATIONS!L198</f>
        <v>3.4111531118568145E-5</v>
      </c>
      <c r="C203" s="31">
        <f t="shared" si="7"/>
        <v>1.62532970316022E-2</v>
      </c>
      <c r="D203" s="30">
        <f t="shared" si="8"/>
        <v>1.6287408562720769E-2</v>
      </c>
      <c r="E203" s="31">
        <f t="shared" si="10"/>
        <v>2.9541554494409705E-6</v>
      </c>
      <c r="F203" s="31">
        <f t="shared" si="10"/>
        <v>3.4100795687021929E-5</v>
      </c>
      <c r="G203" s="31">
        <f t="shared" si="10"/>
        <v>4.6848650446289219E-5</v>
      </c>
    </row>
    <row r="204" spans="1:7" x14ac:dyDescent="0.25">
      <c r="A204" s="1">
        <f>CALCULATIONS!A199</f>
        <v>782</v>
      </c>
      <c r="B204" s="36">
        <f>PI()*CALCULATIONS!L199</f>
        <v>3.4235276537517359E-5</v>
      </c>
      <c r="C204" s="31">
        <f t="shared" si="7"/>
        <v>1.6221038805508483E-2</v>
      </c>
      <c r="D204" s="30">
        <f t="shared" si="8"/>
        <v>1.6255274082046002E-2</v>
      </c>
      <c r="E204" s="31">
        <f t="shared" si="10"/>
        <v>3.48891031481946E-6</v>
      </c>
      <c r="F204" s="31">
        <f t="shared" si="10"/>
        <v>3.4224562412785847E-5</v>
      </c>
      <c r="G204" s="31">
        <f t="shared" si="10"/>
        <v>4.6947116263552913E-5</v>
      </c>
    </row>
    <row r="205" spans="1:7" x14ac:dyDescent="0.25">
      <c r="A205" s="1">
        <f>CALCULATIONS!A200</f>
        <v>784</v>
      </c>
      <c r="B205" s="36">
        <f>PI()*CALCULATIONS!L200</f>
        <v>3.4380002115647297E-5</v>
      </c>
      <c r="C205" s="31">
        <f t="shared" si="7"/>
        <v>1.6188926754522319E-2</v>
      </c>
      <c r="D205" s="30">
        <f t="shared" si="8"/>
        <v>1.6223306756637967E-2</v>
      </c>
      <c r="E205" s="31">
        <f t="shared" si="10"/>
        <v>4.0420850752412307E-6</v>
      </c>
      <c r="F205" s="31">
        <f t="shared" si="10"/>
        <v>3.4369309201177922E-5</v>
      </c>
      <c r="G205" s="31">
        <f t="shared" si="10"/>
        <v>4.7066676792124201E-5</v>
      </c>
    </row>
    <row r="206" spans="1:7" x14ac:dyDescent="0.25">
      <c r="A206" s="1">
        <f>CALCULATIONS!A201</f>
        <v>786</v>
      </c>
      <c r="B206" s="36">
        <f>PI()*CALCULATIONS!L201</f>
        <v>3.4651349072486768E-5</v>
      </c>
      <c r="C206" s="31">
        <f t="shared" ref="C206:C263" si="11">$B$9*POWER(A206/865,-$B$11)</f>
        <v>1.6156959845897725E-2</v>
      </c>
      <c r="D206" s="30">
        <f t="shared" ref="D206:D263" si="12">B206+C206</f>
        <v>1.6191611194970212E-2</v>
      </c>
      <c r="E206" s="31">
        <f t="shared" ref="E206:G237" si="13">$D206-E$9*POWER($A206/865,-E$11)</f>
        <v>4.7193422037135335E-6</v>
      </c>
      <c r="F206" s="31">
        <f t="shared" si="13"/>
        <v>3.4640677272410741E-5</v>
      </c>
      <c r="G206" s="31">
        <f t="shared" si="13"/>
        <v>4.7312972442210832E-5</v>
      </c>
    </row>
    <row r="207" spans="1:7" x14ac:dyDescent="0.25">
      <c r="A207" s="1">
        <f>CALCULATIONS!A202</f>
        <v>788</v>
      </c>
      <c r="B207" s="36">
        <f>PI()*CALCULATIONS!L202</f>
        <v>3.494275787804433E-5</v>
      </c>
      <c r="C207" s="31">
        <f t="shared" si="11"/>
        <v>1.6125137056788585E-2</v>
      </c>
      <c r="D207" s="30">
        <f t="shared" si="12"/>
        <v>1.616007981466663E-2</v>
      </c>
      <c r="E207" s="31">
        <f t="shared" si="13"/>
        <v>5.4141431976087451E-6</v>
      </c>
      <c r="F207" s="31">
        <f t="shared" si="13"/>
        <v>3.4932107097172815E-5</v>
      </c>
      <c r="G207" s="31">
        <f t="shared" si="13"/>
        <v>4.7579442882250689E-5</v>
      </c>
    </row>
    <row r="208" spans="1:7" x14ac:dyDescent="0.25">
      <c r="A208" s="1">
        <f>CALCULATIONS!A203</f>
        <v>790</v>
      </c>
      <c r="B208" s="36">
        <f>PI()*CALCULATIONS!L203</f>
        <v>3.5307643355579469E-5</v>
      </c>
      <c r="C208" s="31">
        <f t="shared" si="11"/>
        <v>1.6093457374128966E-2</v>
      </c>
      <c r="D208" s="30">
        <f t="shared" si="12"/>
        <v>1.6128765017484545E-2</v>
      </c>
      <c r="E208" s="31">
        <f t="shared" si="13"/>
        <v>6.1799236844642391E-6</v>
      </c>
      <c r="F208" s="31">
        <f t="shared" si="13"/>
        <v>3.5297013499389213E-5</v>
      </c>
      <c r="G208" s="31">
        <f t="shared" si="13"/>
        <v>4.7919502141603038E-5</v>
      </c>
    </row>
    <row r="209" spans="1:7" x14ac:dyDescent="0.25">
      <c r="A209" s="1">
        <f>CALCULATIONS!A204</f>
        <v>792</v>
      </c>
      <c r="B209" s="36">
        <f>PI()*CALCULATIONS!L204</f>
        <v>3.5734111274664708E-5</v>
      </c>
      <c r="C209" s="31">
        <f t="shared" si="11"/>
        <v>1.6061919794515087E-2</v>
      </c>
      <c r="D209" s="30">
        <f t="shared" si="12"/>
        <v>1.6097653905789752E-2</v>
      </c>
      <c r="E209" s="31">
        <f t="shared" si="13"/>
        <v>7.0048100178493611E-6</v>
      </c>
      <c r="F209" s="31">
        <f t="shared" si="13"/>
        <v>3.5723502249299099E-5</v>
      </c>
      <c r="G209" s="31">
        <f t="shared" si="13"/>
        <v>4.8321255203508107E-5</v>
      </c>
    </row>
    <row r="210" spans="1:7" x14ac:dyDescent="0.25">
      <c r="A210" s="1">
        <f>CALCULATIONS!A205</f>
        <v>794</v>
      </c>
      <c r="B210" s="36">
        <f>PI()*CALCULATIONS!L205</f>
        <v>3.6111425143025446E-5</v>
      </c>
      <c r="C210" s="31">
        <f t="shared" si="11"/>
        <v>1.6030523324089101E-2</v>
      </c>
      <c r="D210" s="30">
        <f t="shared" si="12"/>
        <v>1.6066634749232128E-2</v>
      </c>
      <c r="E210" s="31">
        <f t="shared" si="13"/>
        <v>7.7780860721667067E-6</v>
      </c>
      <c r="F210" s="31">
        <f t="shared" si="13"/>
        <v>3.6100836855280233E-5</v>
      </c>
      <c r="G210" s="31">
        <f t="shared" si="13"/>
        <v>4.867396479684219E-5</v>
      </c>
    </row>
    <row r="211" spans="1:7" x14ac:dyDescent="0.25">
      <c r="A211" s="1">
        <f>CALCULATIONS!A206</f>
        <v>796</v>
      </c>
      <c r="B211" s="36">
        <f>PI()*CALCULATIONS!L206</f>
        <v>3.6416511139891546E-5</v>
      </c>
      <c r="C211" s="31">
        <f t="shared" si="11"/>
        <v>1.5999266978424475E-2</v>
      </c>
      <c r="D211" s="30">
        <f t="shared" si="12"/>
        <v>1.6035683489564367E-2</v>
      </c>
      <c r="E211" s="31">
        <f t="shared" si="13"/>
        <v>8.4766981787269546E-6</v>
      </c>
      <c r="F211" s="31">
        <f t="shared" si="13"/>
        <v>3.6405943497207216E-5</v>
      </c>
      <c r="G211" s="31">
        <f t="shared" si="13"/>
        <v>4.8954556329371818E-5</v>
      </c>
    </row>
    <row r="212" spans="1:7" x14ac:dyDescent="0.25">
      <c r="A212" s="1">
        <f>CALCULATIONS!A207</f>
        <v>798</v>
      </c>
      <c r="B212" s="36">
        <f>PI()*CALCULATIONS!L207</f>
        <v>3.684180604005715E-5</v>
      </c>
      <c r="C212" s="31">
        <f t="shared" si="11"/>
        <v>1.5968149782413101E-2</v>
      </c>
      <c r="D212" s="30">
        <f t="shared" si="12"/>
        <v>1.6004991588453157E-2</v>
      </c>
      <c r="E212" s="31">
        <f t="shared" si="13"/>
        <v>9.2931030526537117E-6</v>
      </c>
      <c r="F212" s="31">
        <f t="shared" si="13"/>
        <v>3.6831258950525275E-5</v>
      </c>
      <c r="G212" s="31">
        <f t="shared" si="13"/>
        <v>4.9355465811733862E-5</v>
      </c>
    </row>
    <row r="213" spans="1:7" x14ac:dyDescent="0.25">
      <c r="A213" s="1">
        <f>CALCULATIONS!A208</f>
        <v>800</v>
      </c>
      <c r="B213" s="36">
        <f>PI()*CALCULATIONS!L208</f>
        <v>3.7268778325250858E-5</v>
      </c>
      <c r="C213" s="31">
        <f t="shared" si="11"/>
        <v>1.5937170770154E-2</v>
      </c>
      <c r="D213" s="30">
        <f t="shared" si="12"/>
        <v>1.5974439548479252E-2</v>
      </c>
      <c r="E213" s="31">
        <f t="shared" si="13"/>
        <v>1.0108788906938032E-5</v>
      </c>
      <c r="F213" s="31">
        <f t="shared" si="13"/>
        <v>3.7258251697605549E-5</v>
      </c>
      <c r="G213" s="31">
        <f t="shared" si="13"/>
        <v>4.9758160968724902E-5</v>
      </c>
    </row>
    <row r="214" spans="1:7" x14ac:dyDescent="0.25">
      <c r="A214" s="1">
        <f>A213+2</f>
        <v>802</v>
      </c>
      <c r="B214" s="36">
        <f>PI()*CALCULATIONS!L209</f>
        <v>3.8137377796473783E-5</v>
      </c>
      <c r="C214" s="31">
        <f t="shared" si="11"/>
        <v>1.5906328984843614E-2</v>
      </c>
      <c r="D214" s="30">
        <f t="shared" si="12"/>
        <v>1.5944466362640089E-2</v>
      </c>
      <c r="E214" s="31">
        <f t="shared" si="13"/>
        <v>1.1363725067454339E-5</v>
      </c>
      <c r="F214" s="31">
        <f t="shared" si="13"/>
        <v>3.8126871540072188E-5</v>
      </c>
      <c r="G214" s="31">
        <f t="shared" si="13"/>
        <v>5.0602590851524243E-5</v>
      </c>
    </row>
    <row r="215" spans="1:7" x14ac:dyDescent="0.25">
      <c r="A215" s="1">
        <f t="shared" ref="A215:A262" si="14">A214+2</f>
        <v>804</v>
      </c>
      <c r="B215" s="36">
        <f>PI()*CALCULATIONS!L210</f>
        <v>3.823049296028619E-5</v>
      </c>
      <c r="C215" s="31">
        <f t="shared" si="11"/>
        <v>1.5875623478667729E-2</v>
      </c>
      <c r="D215" s="30">
        <f t="shared" si="12"/>
        <v>1.5913853971628016E-2</v>
      </c>
      <c r="E215" s="31">
        <f t="shared" si="13"/>
        <v>1.1840819361928073E-5</v>
      </c>
      <c r="F215" s="31">
        <f t="shared" si="13"/>
        <v>3.8220006985112409E-5</v>
      </c>
      <c r="G215" s="31">
        <f t="shared" si="13"/>
        <v>5.0671643223927643E-5</v>
      </c>
    </row>
    <row r="216" spans="1:7" x14ac:dyDescent="0.25">
      <c r="A216" s="1">
        <f t="shared" si="14"/>
        <v>806</v>
      </c>
      <c r="B216" s="36">
        <f>PI()*CALCULATIONS!L211</f>
        <v>3.8218040128900981E-5</v>
      </c>
      <c r="C216" s="31">
        <f t="shared" si="11"/>
        <v>1.5845053312694903E-2</v>
      </c>
      <c r="D216" s="30">
        <f t="shared" si="12"/>
        <v>1.5883271352823802E-2</v>
      </c>
      <c r="E216" s="31">
        <f t="shared" si="13"/>
        <v>1.2210007222613478E-5</v>
      </c>
      <c r="F216" s="31">
        <f t="shared" si="13"/>
        <v>3.820757434556607E-5</v>
      </c>
      <c r="G216" s="31">
        <f t="shared" si="13"/>
        <v>5.063523366233974E-5</v>
      </c>
    </row>
    <row r="217" spans="1:7" x14ac:dyDescent="0.25">
      <c r="A217" s="1">
        <f t="shared" si="14"/>
        <v>808</v>
      </c>
      <c r="B217" s="36">
        <f>PI()*CALCULATIONS!L212</f>
        <v>3.8098389724596616E-5</v>
      </c>
      <c r="C217" s="31">
        <f t="shared" si="11"/>
        <v>1.5814617556771417E-2</v>
      </c>
      <c r="D217" s="30">
        <f t="shared" si="12"/>
        <v>1.5852715946496013E-2</v>
      </c>
      <c r="E217" s="31">
        <f t="shared" si="13"/>
        <v>1.2469677993277167E-5</v>
      </c>
      <c r="F217" s="31">
        <f t="shared" si="13"/>
        <v>3.8087944044317562E-5</v>
      </c>
      <c r="G217" s="31">
        <f t="shared" si="13"/>
        <v>5.0491731860113909E-5</v>
      </c>
    </row>
    <row r="218" spans="1:7" x14ac:dyDescent="0.25">
      <c r="A218" s="1">
        <f t="shared" si="14"/>
        <v>810</v>
      </c>
      <c r="B218" s="36">
        <f>PI()*CALCULATIONS!L213</f>
        <v>3.7980783970922542E-5</v>
      </c>
      <c r="C218" s="31">
        <f t="shared" si="11"/>
        <v>1.5784315289417771E-2</v>
      </c>
      <c r="D218" s="30">
        <f t="shared" si="12"/>
        <v>1.5822296073388694E-2</v>
      </c>
      <c r="E218" s="31">
        <f t="shared" si="13"/>
        <v>1.2729092622929677E-5</v>
      </c>
      <c r="F218" s="31">
        <f t="shared" si="13"/>
        <v>3.7970358305532831E-5</v>
      </c>
      <c r="G218" s="31">
        <f t="shared" si="13"/>
        <v>5.0350379318671312E-5</v>
      </c>
    </row>
    <row r="219" spans="1:7" x14ac:dyDescent="0.25">
      <c r="A219" s="1">
        <f t="shared" si="14"/>
        <v>812</v>
      </c>
      <c r="B219" s="36">
        <f>PI()*CALCULATIONS!L214</f>
        <v>3.7527489510042325E-5</v>
      </c>
      <c r="C219" s="31">
        <f t="shared" si="11"/>
        <v>1.5754145597726591E-2</v>
      </c>
      <c r="D219" s="30">
        <f t="shared" si="12"/>
        <v>1.5791673087236634E-2</v>
      </c>
      <c r="E219" s="31">
        <f t="shared" si="13"/>
        <v>1.265053628565771E-5</v>
      </c>
      <c r="F219" s="31">
        <f t="shared" si="13"/>
        <v>3.7517083771972798E-5</v>
      </c>
      <c r="G219" s="31">
        <f t="shared" si="13"/>
        <v>4.9873441964758819E-5</v>
      </c>
    </row>
    <row r="220" spans="1:7" x14ac:dyDescent="0.25">
      <c r="A220" s="1">
        <f t="shared" si="14"/>
        <v>814</v>
      </c>
      <c r="B220" s="36">
        <f>PI()*CALCULATIONS!L215</f>
        <v>3.7082530458477398E-5</v>
      </c>
      <c r="C220" s="31">
        <f t="shared" si="11"/>
        <v>1.572410757726202E-2</v>
      </c>
      <c r="D220" s="30">
        <f t="shared" si="12"/>
        <v>1.5761190107720497E-2</v>
      </c>
      <c r="E220" s="31">
        <f t="shared" si="13"/>
        <v>1.2578051438803806E-5</v>
      </c>
      <c r="F220" s="31">
        <f t="shared" si="13"/>
        <v>3.7072144560758302E-5</v>
      </c>
      <c r="G220" s="31">
        <f t="shared" si="13"/>
        <v>4.9404943206120266E-5</v>
      </c>
    </row>
    <row r="221" spans="1:7" x14ac:dyDescent="0.25">
      <c r="A221" s="1">
        <f t="shared" si="14"/>
        <v>816</v>
      </c>
      <c r="B221" s="36">
        <f>PI()*CALCULATIONS!L216</f>
        <v>3.6414213937106461E-5</v>
      </c>
      <c r="C221" s="31">
        <f t="shared" si="11"/>
        <v>1.5694200331960548E-2</v>
      </c>
      <c r="D221" s="30">
        <f t="shared" si="12"/>
        <v>1.5730614545897654E-2</v>
      </c>
      <c r="E221" s="31">
        <f t="shared" si="13"/>
        <v>1.2279963355423668E-5</v>
      </c>
      <c r="F221" s="31">
        <f t="shared" si="13"/>
        <v>3.6403847793360644E-5</v>
      </c>
      <c r="G221" s="31">
        <f t="shared" si="13"/>
        <v>4.8713189461434964E-5</v>
      </c>
    </row>
    <row r="222" spans="1:7" x14ac:dyDescent="0.25">
      <c r="A222" s="1">
        <f t="shared" si="14"/>
        <v>818</v>
      </c>
      <c r="B222" s="36">
        <f>PI()*CALCULATIONS!L217</f>
        <v>3.5543247125159239E-5</v>
      </c>
      <c r="C222" s="31">
        <f t="shared" si="11"/>
        <v>1.5664422974033192E-2</v>
      </c>
      <c r="D222" s="30">
        <f t="shared" si="12"/>
        <v>1.5699966221158351E-2</v>
      </c>
      <c r="E222" s="31">
        <f t="shared" si="13"/>
        <v>1.1776997180603516E-5</v>
      </c>
      <c r="F222" s="31">
        <f t="shared" si="13"/>
        <v>3.5532900649594412E-5</v>
      </c>
      <c r="G222" s="31">
        <f t="shared" si="13"/>
        <v>4.7818887214196026E-5</v>
      </c>
    </row>
    <row r="223" spans="1:7" x14ac:dyDescent="0.25">
      <c r="A223" s="1">
        <f t="shared" si="14"/>
        <v>820</v>
      </c>
      <c r="B223" s="36">
        <f>PI()*CALCULATIONS!L218</f>
        <v>3.4706397481733484E-5</v>
      </c>
      <c r="C223" s="31">
        <f t="shared" si="11"/>
        <v>1.5634774623869113E-2</v>
      </c>
      <c r="D223" s="30">
        <f t="shared" si="12"/>
        <v>1.5669481021350847E-2</v>
      </c>
      <c r="E223" s="31">
        <f t="shared" si="13"/>
        <v>1.1305938155358602E-5</v>
      </c>
      <c r="F223" s="31">
        <f t="shared" si="13"/>
        <v>3.4696070589139427E-5</v>
      </c>
      <c r="G223" s="31">
        <f t="shared" si="13"/>
        <v>4.6958803234182014E-5</v>
      </c>
    </row>
    <row r="224" spans="1:7" x14ac:dyDescent="0.25">
      <c r="A224" s="1">
        <f t="shared" si="14"/>
        <v>822</v>
      </c>
      <c r="B224" s="36">
        <f>PI()*CALCULATIONS!L219</f>
        <v>3.288113869586401E-5</v>
      </c>
      <c r="C224" s="31">
        <f t="shared" si="11"/>
        <v>1.5605254409940544E-2</v>
      </c>
      <c r="D224" s="30">
        <f t="shared" si="12"/>
        <v>1.5638135548636408E-2</v>
      </c>
      <c r="E224" s="31">
        <f t="shared" si="13"/>
        <v>9.8442775689905337E-6</v>
      </c>
      <c r="F224" s="31">
        <f t="shared" si="13"/>
        <v>3.2870831301604758E-5</v>
      </c>
      <c r="G224" s="31">
        <f t="shared" si="13"/>
        <v>4.5110410527442885E-5</v>
      </c>
    </row>
    <row r="225" spans="1:7" x14ac:dyDescent="0.25">
      <c r="A225" s="1">
        <f t="shared" si="14"/>
        <v>824</v>
      </c>
      <c r="B225" s="36">
        <f>PI()*CALCULATIONS!L220</f>
        <v>3.1223461316360948E-5</v>
      </c>
      <c r="C225" s="31">
        <f t="shared" si="11"/>
        <v>1.5575861468709071E-2</v>
      </c>
      <c r="D225" s="30">
        <f t="shared" si="12"/>
        <v>1.5607084930025432E-2</v>
      </c>
      <c r="E225" s="31">
        <f t="shared" si="13"/>
        <v>8.5480233912148956E-6</v>
      </c>
      <c r="F225" s="31">
        <f t="shared" si="13"/>
        <v>3.1213173336371719E-5</v>
      </c>
      <c r="G225" s="31">
        <f t="shared" si="13"/>
        <v>4.342969896606666E-5</v>
      </c>
    </row>
    <row r="226" spans="1:7" x14ac:dyDescent="0.25">
      <c r="A226" s="1">
        <f t="shared" si="14"/>
        <v>826</v>
      </c>
      <c r="B226" s="36">
        <f>PI()*CALCULATIONS!L221</f>
        <v>2.9280581462561938E-5</v>
      </c>
      <c r="C226" s="31">
        <f t="shared" si="11"/>
        <v>1.5546594944533225E-2</v>
      </c>
      <c r="D226" s="30">
        <f t="shared" si="12"/>
        <v>1.5575875525995786E-2</v>
      </c>
      <c r="E226" s="31">
        <f t="shared" si="13"/>
        <v>6.9644089851338825E-6</v>
      </c>
      <c r="F226" s="31">
        <f t="shared" si="13"/>
        <v>2.9270312813344315E-5</v>
      </c>
      <c r="G226" s="31">
        <f t="shared" si="13"/>
        <v>4.1463883998855283E-5</v>
      </c>
    </row>
    <row r="227" spans="1:7" x14ac:dyDescent="0.25">
      <c r="A227" s="1">
        <f t="shared" si="14"/>
        <v>828</v>
      </c>
      <c r="B227" s="36">
        <f>PI()*CALCULATIONS!L222</f>
        <v>2.7177063133912951E-5</v>
      </c>
      <c r="C227" s="31">
        <f t="shared" si="11"/>
        <v>1.551745398957736E-2</v>
      </c>
      <c r="D227" s="30">
        <f t="shared" si="12"/>
        <v>1.5544631052711273E-2</v>
      </c>
      <c r="E227" s="31">
        <f t="shared" si="13"/>
        <v>5.2180154190423211E-6</v>
      </c>
      <c r="F227" s="31">
        <f t="shared" si="13"/>
        <v>2.7166813732526149E-5</v>
      </c>
      <c r="G227" s="31">
        <f t="shared" si="13"/>
        <v>3.9337528960837337E-5</v>
      </c>
    </row>
    <row r="228" spans="1:7" x14ac:dyDescent="0.25">
      <c r="A228" s="1">
        <f t="shared" si="14"/>
        <v>830</v>
      </c>
      <c r="B228" s="36">
        <f>PI()*CALCULATIONS!L223</f>
        <v>2.5339158358953049E-5</v>
      </c>
      <c r="C228" s="31">
        <f t="shared" si="11"/>
        <v>1.5488437763721802E-2</v>
      </c>
      <c r="D228" s="30">
        <f t="shared" si="12"/>
        <v>1.5513776922080755E-2</v>
      </c>
      <c r="E228" s="31">
        <f t="shared" si="13"/>
        <v>3.735111617584469E-6</v>
      </c>
      <c r="F228" s="31">
        <f t="shared" si="13"/>
        <v>2.5328928123015751E-5</v>
      </c>
      <c r="G228" s="31">
        <f t="shared" si="13"/>
        <v>3.7476885222181844E-5</v>
      </c>
    </row>
    <row r="229" spans="1:7" x14ac:dyDescent="0.25">
      <c r="A229" s="1">
        <f t="shared" si="14"/>
        <v>832</v>
      </c>
      <c r="B229" s="36">
        <f>PI()*CALCULATIONS!L224</f>
        <v>2.3416078155294855E-5</v>
      </c>
      <c r="C229" s="31">
        <f t="shared" si="11"/>
        <v>1.5459545434474219E-2</v>
      </c>
      <c r="D229" s="30">
        <f t="shared" si="12"/>
        <v>1.5482961512629513E-2</v>
      </c>
      <c r="E229" s="31">
        <f t="shared" si="13"/>
        <v>2.1649253238442689E-6</v>
      </c>
      <c r="F229" s="31">
        <f t="shared" si="13"/>
        <v>2.3405867002968331E-5</v>
      </c>
      <c r="G229" s="31">
        <f t="shared" si="13"/>
        <v>3.5531163148102771E-5</v>
      </c>
    </row>
    <row r="230" spans="1:7" x14ac:dyDescent="0.25">
      <c r="A230" s="1">
        <f t="shared" si="14"/>
        <v>834</v>
      </c>
      <c r="B230" s="36">
        <f>PI()*CALCULATIONS!L225</f>
        <v>2.1749646498650185E-5</v>
      </c>
      <c r="C230" s="31">
        <f t="shared" si="11"/>
        <v>1.5430776176882285E-2</v>
      </c>
      <c r="D230" s="30">
        <f t="shared" si="12"/>
        <v>1.5452525823380935E-2</v>
      </c>
      <c r="E230" s="31">
        <f t="shared" si="13"/>
        <v>8.4929707052858183E-7</v>
      </c>
      <c r="F230" s="31">
        <f t="shared" si="13"/>
        <v>2.1739454348645298E-5</v>
      </c>
      <c r="G230" s="31">
        <f t="shared" si="13"/>
        <v>3.3842186067828753E-5</v>
      </c>
    </row>
    <row r="231" spans="1:7" x14ac:dyDescent="0.25">
      <c r="A231" s="1">
        <f t="shared" si="14"/>
        <v>836</v>
      </c>
      <c r="B231" s="36">
        <f>PI()*CALCULATIONS!L226</f>
        <v>2.0667791802383324E-5</v>
      </c>
      <c r="C231" s="31">
        <f t="shared" si="11"/>
        <v>1.5402129173447481E-2</v>
      </c>
      <c r="D231" s="30">
        <f t="shared" si="12"/>
        <v>1.5422796965249863E-2</v>
      </c>
      <c r="E231" s="31">
        <f t="shared" si="13"/>
        <v>1.1617166158217618E-7</v>
      </c>
      <c r="F231" s="31">
        <f t="shared" si="13"/>
        <v>2.0657618573952791E-5</v>
      </c>
      <c r="G231" s="31">
        <f t="shared" si="13"/>
        <v>3.2737881754084375E-5</v>
      </c>
    </row>
    <row r="232" spans="1:7" x14ac:dyDescent="0.25">
      <c r="A232" s="1">
        <f t="shared" si="14"/>
        <v>838</v>
      </c>
      <c r="B232" s="36">
        <f>PI()*CALCULATIONS!L227</f>
        <v>2.0035240444866969E-5</v>
      </c>
      <c r="C232" s="31">
        <f t="shared" si="11"/>
        <v>1.5373603614040113E-2</v>
      </c>
      <c r="D232" s="30">
        <f t="shared" si="12"/>
        <v>1.539363885448498E-2</v>
      </c>
      <c r="E232" s="31">
        <f t="shared" si="13"/>
        <v>-1.6970829842463675E-7</v>
      </c>
      <c r="F232" s="31">
        <f t="shared" si="13"/>
        <v>2.002508605779621E-5</v>
      </c>
      <c r="G232" s="31">
        <f t="shared" si="13"/>
        <v>3.2082975950370116E-5</v>
      </c>
    </row>
    <row r="233" spans="1:7" x14ac:dyDescent="0.25">
      <c r="A233" s="1">
        <f t="shared" si="14"/>
        <v>840</v>
      </c>
      <c r="B233" s="36">
        <f>PI()*CALCULATIONS!L228</f>
        <v>1.943552726665732E-5</v>
      </c>
      <c r="C233" s="31">
        <f t="shared" si="11"/>
        <v>1.5345198695815515E-2</v>
      </c>
      <c r="D233" s="30">
        <f t="shared" si="12"/>
        <v>1.5364634223082173E-2</v>
      </c>
      <c r="E233" s="31">
        <f t="shared" si="13"/>
        <v>-4.2479190508551423E-7</v>
      </c>
      <c r="F233" s="31">
        <f t="shared" si="13"/>
        <v>1.9425391641259351E-5</v>
      </c>
      <c r="G233" s="31">
        <f t="shared" si="13"/>
        <v>3.1461002868077292E-5</v>
      </c>
    </row>
    <row r="234" spans="1:7" x14ac:dyDescent="0.25">
      <c r="A234" s="1">
        <f t="shared" si="14"/>
        <v>842</v>
      </c>
      <c r="B234" s="36">
        <f>PI()*CALCULATIONS!L229</f>
        <v>1.9096023687259919E-5</v>
      </c>
      <c r="C234" s="31">
        <f t="shared" si="11"/>
        <v>1.5316913623131371E-2</v>
      </c>
      <c r="D234" s="30">
        <f t="shared" si="12"/>
        <v>1.5336009646818631E-2</v>
      </c>
      <c r="E234" s="31">
        <f t="shared" si="13"/>
        <v>-4.2169183539844668E-7</v>
      </c>
      <c r="F234" s="31">
        <f t="shared" si="13"/>
        <v>1.9085906744377781E-5</v>
      </c>
      <c r="G234" s="31">
        <f t="shared" si="13"/>
        <v>3.1099333303204191E-5</v>
      </c>
    </row>
    <row r="235" spans="1:7" x14ac:dyDescent="0.25">
      <c r="A235" s="1">
        <f t="shared" si="14"/>
        <v>844</v>
      </c>
      <c r="B235" s="36">
        <f>PI()*CALCULATIONS!L230</f>
        <v>1.876603522415482E-5</v>
      </c>
      <c r="C235" s="31">
        <f t="shared" si="11"/>
        <v>1.5288747607466192E-2</v>
      </c>
      <c r="D235" s="30">
        <f t="shared" si="12"/>
        <v>1.5307513642690347E-2</v>
      </c>
      <c r="E235" s="31">
        <f t="shared" si="13"/>
        <v>-4.1108682678238362E-7</v>
      </c>
      <c r="F235" s="31">
        <f t="shared" si="13"/>
        <v>1.8755936885148095E-5</v>
      </c>
      <c r="G235" s="31">
        <f t="shared" si="13"/>
        <v>3.0747272155287261E-5</v>
      </c>
    </row>
    <row r="236" spans="1:7" x14ac:dyDescent="0.25">
      <c r="A236" s="1">
        <f t="shared" si="14"/>
        <v>846</v>
      </c>
      <c r="B236" s="36">
        <f>PI()*CALCULATIONS!L231</f>
        <v>1.8446636488228394E-5</v>
      </c>
      <c r="C236" s="31">
        <f t="shared" si="11"/>
        <v>1.5260699867338896E-2</v>
      </c>
      <c r="D236" s="30">
        <f t="shared" si="12"/>
        <v>1.5279146503827125E-2</v>
      </c>
      <c r="E236" s="31">
        <f t="shared" si="13"/>
        <v>-3.9188667973026614E-7</v>
      </c>
      <c r="F236" s="31">
        <f t="shared" si="13"/>
        <v>1.843655667497536E-5</v>
      </c>
      <c r="G236" s="31">
        <f t="shared" si="13"/>
        <v>3.0405893422798258E-5</v>
      </c>
    </row>
    <row r="237" spans="1:7" x14ac:dyDescent="0.25">
      <c r="A237" s="1">
        <f t="shared" si="14"/>
        <v>848</v>
      </c>
      <c r="B237" s="36">
        <f>PI()*CALCULATIONS!L232</f>
        <v>1.8137356623634262E-5</v>
      </c>
      <c r="C237" s="31">
        <f t="shared" si="11"/>
        <v>1.5232769628229481E-2</v>
      </c>
      <c r="D237" s="30">
        <f t="shared" si="12"/>
        <v>1.5250906984853116E-2</v>
      </c>
      <c r="E237" s="31">
        <f t="shared" si="13"/>
        <v>-3.6454681602571259E-7</v>
      </c>
      <c r="F237" s="31">
        <f t="shared" si="13"/>
        <v>1.8127295258527423E-5</v>
      </c>
      <c r="G237" s="31">
        <f t="shared" si="13"/>
        <v>3.0074725642929151E-5</v>
      </c>
    </row>
    <row r="238" spans="1:7" x14ac:dyDescent="0.25">
      <c r="A238" s="1">
        <f t="shared" si="14"/>
        <v>850</v>
      </c>
      <c r="B238" s="36">
        <f>PI()*CALCULATIONS!L233</f>
        <v>1.7836392545420543E-5</v>
      </c>
      <c r="C238" s="31">
        <f t="shared" si="11"/>
        <v>1.5204956122500796E-2</v>
      </c>
      <c r="D238" s="30">
        <f t="shared" si="12"/>
        <v>1.5222792515046216E-2</v>
      </c>
      <c r="E238" s="31">
        <f t="shared" ref="E238:G263" si="15">$D238-E$9*POWER($A238/865,-E$11)</f>
        <v>-3.3085503922496151E-7</v>
      </c>
      <c r="F238" s="31">
        <f t="shared" si="15"/>
        <v>1.782634955135344E-5</v>
      </c>
      <c r="G238" s="31">
        <f t="shared" si="15"/>
        <v>2.9751965129153415E-5</v>
      </c>
    </row>
    <row r="239" spans="1:7" x14ac:dyDescent="0.25">
      <c r="A239" s="1">
        <f t="shared" si="14"/>
        <v>852</v>
      </c>
      <c r="B239" s="36">
        <f>PI()*CALCULATIONS!L234</f>
        <v>1.7569906549482981E-5</v>
      </c>
      <c r="C239" s="31">
        <f t="shared" si="11"/>
        <v>1.5177258589321342E-2</v>
      </c>
      <c r="D239" s="30">
        <f t="shared" si="12"/>
        <v>1.5194828495870826E-2</v>
      </c>
      <c r="E239" s="31">
        <f t="shared" si="15"/>
        <v>-2.646339228931649E-7</v>
      </c>
      <c r="F239" s="31">
        <f t="shared" si="15"/>
        <v>1.7559881849857351E-5</v>
      </c>
      <c r="G239" s="31">
        <f t="shared" si="15"/>
        <v>2.9463773581137054E-5</v>
      </c>
    </row>
    <row r="240" spans="1:7" x14ac:dyDescent="0.25">
      <c r="A240" s="1">
        <f t="shared" si="14"/>
        <v>854</v>
      </c>
      <c r="B240" s="36">
        <f>PI()*CALCULATIONS!L235</f>
        <v>1.7309755415368035E-5</v>
      </c>
      <c r="C240" s="31">
        <f t="shared" si="11"/>
        <v>1.5149676274589139E-2</v>
      </c>
      <c r="D240" s="30">
        <f t="shared" si="12"/>
        <v>1.5166986030004506E-2</v>
      </c>
      <c r="E240" s="31">
        <f t="shared" si="15"/>
        <v>-1.9401170595415018E-7</v>
      </c>
      <c r="F240" s="31">
        <f t="shared" si="15"/>
        <v>1.7299748934078082E-5</v>
      </c>
      <c r="G240" s="31">
        <f t="shared" si="15"/>
        <v>2.9182007187459821E-5</v>
      </c>
    </row>
    <row r="241" spans="1:7" x14ac:dyDescent="0.25">
      <c r="A241" s="1">
        <f t="shared" si="14"/>
        <v>856</v>
      </c>
      <c r="B241" s="36">
        <f>PI()*CALCULATIONS!L236</f>
        <v>1.7041247359778953E-5</v>
      </c>
      <c r="C241" s="31">
        <f t="shared" si="11"/>
        <v>1.5122208430856614E-2</v>
      </c>
      <c r="D241" s="30">
        <f t="shared" si="12"/>
        <v>1.5139249678216393E-2</v>
      </c>
      <c r="E241" s="31">
        <f t="shared" si="15"/>
        <v>-1.3366533738526365E-7</v>
      </c>
      <c r="F241" s="31">
        <f t="shared" si="15"/>
        <v>1.7031259021218353E-5</v>
      </c>
      <c r="G241" s="31">
        <f t="shared" si="15"/>
        <v>2.8891973579079841E-5</v>
      </c>
    </row>
    <row r="242" spans="1:7" x14ac:dyDescent="0.25">
      <c r="A242" s="1">
        <f t="shared" si="14"/>
        <v>858</v>
      </c>
      <c r="B242" s="36">
        <f>PI()*CALCULATIONS!L237</f>
        <v>1.6765313120953549E-5</v>
      </c>
      <c r="C242" s="31">
        <f t="shared" si="11"/>
        <v>1.5094854317256521E-2</v>
      </c>
      <c r="D242" s="30">
        <f t="shared" si="12"/>
        <v>1.5111619630377474E-2</v>
      </c>
      <c r="E242" s="31">
        <f t="shared" si="15"/>
        <v>-8.2649390061029226E-8</v>
      </c>
      <c r="F242" s="31">
        <f t="shared" si="15"/>
        <v>1.6755342850002103E-5</v>
      </c>
      <c r="G242" s="31">
        <f t="shared" si="15"/>
        <v>2.8594602913640729E-5</v>
      </c>
    </row>
    <row r="243" spans="1:7" x14ac:dyDescent="0.25">
      <c r="A243" s="1">
        <f t="shared" si="14"/>
        <v>860</v>
      </c>
      <c r="B243" s="36">
        <f>PI()*CALCULATIONS!L238</f>
        <v>1.6496562964338608E-5</v>
      </c>
      <c r="C243" s="31">
        <f t="shared" si="11"/>
        <v>1.5067613199428802E-2</v>
      </c>
      <c r="D243" s="30">
        <f t="shared" si="12"/>
        <v>1.508410976239314E-2</v>
      </c>
      <c r="E243" s="31">
        <f t="shared" si="15"/>
        <v>-2.6339053361967846E-8</v>
      </c>
      <c r="F243" s="31">
        <f t="shared" si="15"/>
        <v>1.6486610686360439E-5</v>
      </c>
      <c r="G243" s="31">
        <f t="shared" si="15"/>
        <v>2.8304504881100298E-5</v>
      </c>
    </row>
    <row r="244" spans="1:7" x14ac:dyDescent="0.25">
      <c r="A244" s="1">
        <f t="shared" si="14"/>
        <v>862</v>
      </c>
      <c r="B244" s="36">
        <f>PI()*CALCULATIONS!L239</f>
        <v>1.6167812119969729E-5</v>
      </c>
      <c r="C244" s="31">
        <f t="shared" si="11"/>
        <v>1.5040484349448498E-2</v>
      </c>
      <c r="D244" s="30">
        <f t="shared" si="12"/>
        <v>1.5056652161568467E-2</v>
      </c>
      <c r="E244" s="31">
        <f t="shared" si="15"/>
        <v>-3.1904694042933501E-8</v>
      </c>
      <c r="F244" s="31">
        <f t="shared" si="15"/>
        <v>1.6157877760812969E-5</v>
      </c>
      <c r="G244" s="31">
        <f t="shared" si="15"/>
        <v>2.7954494141049432E-5</v>
      </c>
    </row>
    <row r="245" spans="1:7" x14ac:dyDescent="0.25">
      <c r="A245" s="1">
        <f t="shared" si="14"/>
        <v>864</v>
      </c>
      <c r="B245" s="36">
        <f>PI()*CALCULATIONS!L240</f>
        <v>1.5849839944717681E-5</v>
      </c>
      <c r="C245" s="31">
        <f t="shared" si="11"/>
        <v>1.5013467045754566E-2</v>
      </c>
      <c r="D245" s="30">
        <f t="shared" si="12"/>
        <v>1.5029316885699284E-2</v>
      </c>
      <c r="E245" s="31">
        <f t="shared" si="15"/>
        <v>-2.8552692300787275E-8</v>
      </c>
      <c r="F245" s="31">
        <f t="shared" si="15"/>
        <v>1.5839923430705297E-5</v>
      </c>
      <c r="G245" s="31">
        <f t="shared" si="15"/>
        <v>2.7615349484890611E-5</v>
      </c>
    </row>
    <row r="246" spans="1:7" x14ac:dyDescent="0.25">
      <c r="A246" s="1">
        <f t="shared" si="14"/>
        <v>866</v>
      </c>
      <c r="B246" s="36">
        <f>PI()*CALCULATIONS!L241</f>
        <v>1.555938924967655E-5</v>
      </c>
      <c r="C246" s="31">
        <f t="shared" si="11"/>
        <v>1.4986560573079675E-2</v>
      </c>
      <c r="D246" s="30">
        <f t="shared" si="12"/>
        <v>1.5002119962329351E-2</v>
      </c>
      <c r="E246" s="31">
        <f t="shared" si="15"/>
        <v>4.7388726970298833E-10</v>
      </c>
      <c r="F246" s="31">
        <f t="shared" si="15"/>
        <v>1.5549490507601668E-5</v>
      </c>
      <c r="G246" s="31">
        <f t="shared" si="15"/>
        <v>2.7303813163192386E-5</v>
      </c>
    </row>
    <row r="247" spans="1:7" x14ac:dyDescent="0.25">
      <c r="A247" s="1">
        <f t="shared" si="14"/>
        <v>868</v>
      </c>
      <c r="B247" s="36">
        <f>PI()*CALCULATIONS!L242</f>
        <v>1.5294370340068748E-5</v>
      </c>
      <c r="C247" s="31">
        <f t="shared" si="11"/>
        <v>1.4959764222380951E-2</v>
      </c>
      <c r="D247" s="30">
        <f t="shared" si="12"/>
        <v>1.4975058592721019E-2</v>
      </c>
      <c r="E247" s="31">
        <f t="shared" si="15"/>
        <v>5.3099337265702373E-8</v>
      </c>
      <c r="F247" s="31">
        <f t="shared" si="15"/>
        <v>1.52844892971956E-5</v>
      </c>
      <c r="G247" s="31">
        <f t="shared" si="15"/>
        <v>2.7017794925527153E-5</v>
      </c>
    </row>
    <row r="248" spans="1:7" x14ac:dyDescent="0.25">
      <c r="A248" s="1">
        <f t="shared" si="14"/>
        <v>870</v>
      </c>
      <c r="B248" s="36">
        <f>PI()*CALCULATIONS!L243</f>
        <v>1.503668643587493E-5</v>
      </c>
      <c r="C248" s="31">
        <f t="shared" si="11"/>
        <v>1.4933077290771585E-2</v>
      </c>
      <c r="D248" s="30">
        <f t="shared" si="12"/>
        <v>1.494811397720746E-2</v>
      </c>
      <c r="E248" s="31">
        <f t="shared" si="15"/>
        <v>1.1124072970755683E-7</v>
      </c>
      <c r="F248" s="31">
        <f t="shared" si="15"/>
        <v>1.5026823019931301E-5</v>
      </c>
      <c r="G248" s="31">
        <f t="shared" si="15"/>
        <v>2.6739197441045734E-5</v>
      </c>
    </row>
    <row r="249" spans="1:7" x14ac:dyDescent="0.25">
      <c r="A249" s="1">
        <f t="shared" si="14"/>
        <v>872</v>
      </c>
      <c r="B249" s="36">
        <f>PI()*CALCULATIONS!L244</f>
        <v>1.471096235226397E-5</v>
      </c>
      <c r="C249" s="31">
        <f t="shared" si="11"/>
        <v>1.4906499081453419E-2</v>
      </c>
      <c r="D249" s="30">
        <f t="shared" si="12"/>
        <v>1.4921210043805682E-2</v>
      </c>
      <c r="E249" s="31">
        <f t="shared" si="15"/>
        <v>9.9536598066260473E-8</v>
      </c>
      <c r="F249" s="31">
        <f t="shared" si="15"/>
        <v>1.4701116491436933E-5</v>
      </c>
      <c r="G249" s="31">
        <f t="shared" si="15"/>
        <v>2.6392644978862068E-5</v>
      </c>
    </row>
    <row r="250" spans="1:7" x14ac:dyDescent="0.25">
      <c r="A250" s="1">
        <f t="shared" si="14"/>
        <v>874</v>
      </c>
      <c r="B250" s="36">
        <f>PI()*CALCULATIONS!L245</f>
        <v>1.4397006554664544E-5</v>
      </c>
      <c r="C250" s="31">
        <f t="shared" si="11"/>
        <v>1.4880028903650368E-2</v>
      </c>
      <c r="D250" s="30">
        <f t="shared" si="12"/>
        <v>1.4894425910205032E-2</v>
      </c>
      <c r="E250" s="31">
        <f t="shared" si="15"/>
        <v>9.7808993949205503E-8</v>
      </c>
      <c r="F250" s="31">
        <f t="shared" si="15"/>
        <v>1.4387178177602267E-5</v>
      </c>
      <c r="G250" s="31">
        <f t="shared" si="15"/>
        <v>2.6057945463071885E-5</v>
      </c>
    </row>
    <row r="251" spans="1:7" x14ac:dyDescent="0.25">
      <c r="A251" s="1">
        <f t="shared" si="14"/>
        <v>876</v>
      </c>
      <c r="B251" s="36">
        <f>PI()*CALCULATIONS!L246</f>
        <v>1.402179128347556E-5</v>
      </c>
      <c r="C251" s="31">
        <f t="shared" si="11"/>
        <v>1.4853666072542751E-2</v>
      </c>
      <c r="D251" s="30">
        <f t="shared" si="12"/>
        <v>1.4867687863826227E-2</v>
      </c>
      <c r="E251" s="31">
        <f t="shared" si="15"/>
        <v>3.3043613322999987E-8</v>
      </c>
      <c r="F251" s="31">
        <f t="shared" si="15"/>
        <v>1.4011980319271478E-5</v>
      </c>
      <c r="G251" s="31">
        <f t="shared" si="15"/>
        <v>2.5662070597403872E-5</v>
      </c>
    </row>
    <row r="252" spans="1:7" x14ac:dyDescent="0.25">
      <c r="A252" s="1">
        <f t="shared" si="14"/>
        <v>878</v>
      </c>
      <c r="B252" s="36">
        <f>PI()*CALCULATIONS!L247</f>
        <v>1.3594825670515297E-5</v>
      </c>
      <c r="C252" s="31">
        <f t="shared" si="11"/>
        <v>1.482740990920246E-2</v>
      </c>
      <c r="D252" s="30">
        <f t="shared" si="12"/>
        <v>1.4841004734872975E-2</v>
      </c>
      <c r="E252" s="31">
        <f t="shared" si="15"/>
        <v>-8.523708546447073E-8</v>
      </c>
      <c r="F252" s="31">
        <f t="shared" si="15"/>
        <v>1.3585032048714363E-5</v>
      </c>
      <c r="G252" s="31">
        <f t="shared" si="15"/>
        <v>2.5214528981623227E-5</v>
      </c>
    </row>
    <row r="253" spans="1:7" x14ac:dyDescent="0.25">
      <c r="A253" s="1">
        <f t="shared" si="14"/>
        <v>880</v>
      </c>
      <c r="B253" s="36">
        <f>PI()*CALCULATIONS!L248</f>
        <v>1.3190271644957985E-5</v>
      </c>
      <c r="C253" s="31">
        <f t="shared" si="11"/>
        <v>1.4801259740529024E-2</v>
      </c>
      <c r="D253" s="30">
        <f t="shared" si="12"/>
        <v>1.4814450012173982E-2</v>
      </c>
      <c r="E253" s="31">
        <f t="shared" si="15"/>
        <v>-1.8285797424508199E-7</v>
      </c>
      <c r="F253" s="31">
        <f t="shared" si="15"/>
        <v>1.318049529555089E-5</v>
      </c>
      <c r="G253" s="31">
        <f t="shared" si="15"/>
        <v>2.4789482017421524E-5</v>
      </c>
    </row>
    <row r="254" spans="1:7" x14ac:dyDescent="0.25">
      <c r="A254" s="1">
        <f t="shared" si="14"/>
        <v>882</v>
      </c>
      <c r="B254" s="36">
        <f>PI()*CALCULATIONS!L249</f>
        <v>1.2872122336842452E-5</v>
      </c>
      <c r="C254" s="31">
        <f t="shared" si="11"/>
        <v>1.4775214899186449E-2</v>
      </c>
      <c r="D254" s="30">
        <f t="shared" si="12"/>
        <v>1.4788087021523292E-2</v>
      </c>
      <c r="E254" s="31">
        <f t="shared" si="15"/>
        <v>-1.9581285002831517E-7</v>
      </c>
      <c r="F254" s="31">
        <f t="shared" si="15"/>
        <v>1.2862363190259754E-5</v>
      </c>
      <c r="G254" s="31">
        <f t="shared" si="15"/>
        <v>2.4450922311869752E-5</v>
      </c>
    </row>
    <row r="255" spans="1:7" x14ac:dyDescent="0.25">
      <c r="A255" s="1">
        <f t="shared" si="14"/>
        <v>884</v>
      </c>
      <c r="B255" s="36">
        <f>PI()*CALCULATIONS!L250</f>
        <v>1.2566966172561667E-5</v>
      </c>
      <c r="C255" s="31">
        <f t="shared" si="11"/>
        <v>1.4749274723540949E-2</v>
      </c>
      <c r="D255" s="30">
        <f t="shared" si="12"/>
        <v>1.4761841689713512E-2</v>
      </c>
      <c r="E255" s="31">
        <f t="shared" si="15"/>
        <v>-1.9750033803701827E-7</v>
      </c>
      <c r="F255" s="31">
        <f t="shared" si="15"/>
        <v>1.2557224159671573E-5</v>
      </c>
      <c r="G255" s="31">
        <f t="shared" si="15"/>
        <v>2.4125437772864675E-5</v>
      </c>
    </row>
    <row r="256" spans="1:7" x14ac:dyDescent="0.25">
      <c r="A256" s="1">
        <f t="shared" si="14"/>
        <v>886</v>
      </c>
      <c r="B256" s="36">
        <f>PI()*CALCULATIONS!L251</f>
        <v>1.2275317658187581E-5</v>
      </c>
      <c r="C256" s="31">
        <f t="shared" si="11"/>
        <v>1.4723438557599427E-2</v>
      </c>
      <c r="D256" s="30">
        <f t="shared" si="12"/>
        <v>1.4735713875257614E-2</v>
      </c>
      <c r="E256" s="31">
        <f t="shared" si="15"/>
        <v>-1.8739310693460798E-7</v>
      </c>
      <c r="F256" s="31">
        <f t="shared" si="15"/>
        <v>1.2265592710287987E-5</v>
      </c>
      <c r="G256" s="31">
        <f t="shared" si="15"/>
        <v>2.3813542392397621E-5</v>
      </c>
    </row>
    <row r="257" spans="1:7" x14ac:dyDescent="0.25">
      <c r="A257" s="1">
        <f t="shared" si="14"/>
        <v>888</v>
      </c>
      <c r="B257" s="36">
        <f>PI()*CALCULATIONS!L252</f>
        <v>1.1996325023789611E-5</v>
      </c>
      <c r="C257" s="31">
        <f t="shared" si="11"/>
        <v>1.4697705750948815E-2</v>
      </c>
      <c r="D257" s="30">
        <f t="shared" si="12"/>
        <v>1.4709702075972605E-2</v>
      </c>
      <c r="E257" s="31">
        <f t="shared" si="15"/>
        <v>-1.6633022306353218E-7</v>
      </c>
      <c r="F257" s="31">
        <f t="shared" si="15"/>
        <v>1.1986617072613781E-5</v>
      </c>
      <c r="G257" s="31">
        <f t="shared" si="15"/>
        <v>2.3514383890832838E-5</v>
      </c>
    </row>
    <row r="258" spans="1:7" x14ac:dyDescent="0.25">
      <c r="A258" s="1">
        <f t="shared" si="14"/>
        <v>890</v>
      </c>
      <c r="B258" s="36">
        <f>PI()*CALCULATIONS!L253</f>
        <v>1.1728039816085069E-5</v>
      </c>
      <c r="C258" s="31">
        <f t="shared" si="11"/>
        <v>1.4672075658696153E-2</v>
      </c>
      <c r="D258" s="30">
        <f t="shared" si="12"/>
        <v>1.4683803698512238E-2</v>
      </c>
      <c r="E258" s="31">
        <f t="shared" si="15"/>
        <v>-1.3624755638118324E-7</v>
      </c>
      <c r="F258" s="31">
        <f t="shared" si="15"/>
        <v>1.1718348793788094E-5</v>
      </c>
      <c r="G258" s="31">
        <f t="shared" si="15"/>
        <v>2.3226013309510934E-5</v>
      </c>
    </row>
    <row r="259" spans="1:7" x14ac:dyDescent="0.25">
      <c r="A259" s="1">
        <f t="shared" si="14"/>
        <v>892</v>
      </c>
      <c r="B259" s="36">
        <f>PI()*CALCULATIONS!L254</f>
        <v>1.147227625846239E-5</v>
      </c>
      <c r="C259" s="31">
        <f t="shared" si="11"/>
        <v>1.464654764140947E-2</v>
      </c>
      <c r="D259" s="30">
        <f t="shared" si="12"/>
        <v>1.4658019917667933E-2</v>
      </c>
      <c r="E259" s="31">
        <f t="shared" si="15"/>
        <v>-9.5318419067458304E-8</v>
      </c>
      <c r="F259" s="31">
        <f t="shared" si="15"/>
        <v>1.1462602097623772E-5</v>
      </c>
      <c r="G259" s="31">
        <f t="shared" si="15"/>
        <v>2.2950244370718853E-5</v>
      </c>
    </row>
    <row r="260" spans="1:7" x14ac:dyDescent="0.25">
      <c r="A260" s="1">
        <f t="shared" si="14"/>
        <v>894</v>
      </c>
      <c r="B260" s="36">
        <f>PI()*CALCULATIONS!L255</f>
        <v>1.1225912819690431E-5</v>
      </c>
      <c r="C260" s="31">
        <f t="shared" si="11"/>
        <v>1.4621121065059431E-2</v>
      </c>
      <c r="D260" s="30">
        <f t="shared" si="12"/>
        <v>1.4632346977879121E-2</v>
      </c>
      <c r="E260" s="31">
        <f t="shared" si="15"/>
        <v>-4.6651995400451285E-8</v>
      </c>
      <c r="F260" s="31">
        <f t="shared" si="15"/>
        <v>1.1216255453307469E-5</v>
      </c>
      <c r="G260" s="31">
        <f t="shared" si="15"/>
        <v>2.2683955046360477E-5</v>
      </c>
    </row>
    <row r="261" spans="1:7" x14ac:dyDescent="0.25">
      <c r="A261" s="1">
        <f t="shared" si="14"/>
        <v>896</v>
      </c>
      <c r="B261" s="36">
        <f>PI()*CALCULATIONS!L256</f>
        <v>1.0986924046990493E-5</v>
      </c>
      <c r="C261" s="31">
        <f t="shared" si="11"/>
        <v>1.4595795300961723E-2</v>
      </c>
      <c r="D261" s="30">
        <f t="shared" si="12"/>
        <v>1.4606782225008713E-2</v>
      </c>
      <c r="E261" s="31">
        <f t="shared" si="15"/>
        <v>7.7384926418233579E-9</v>
      </c>
      <c r="F261" s="31">
        <f t="shared" si="15"/>
        <v>1.0977283408476063E-5</v>
      </c>
      <c r="G261" s="31">
        <f t="shared" si="15"/>
        <v>2.242511939097927E-5</v>
      </c>
    </row>
    <row r="262" spans="1:7" x14ac:dyDescent="0.25">
      <c r="A262" s="1">
        <f t="shared" si="14"/>
        <v>898</v>
      </c>
      <c r="B262" s="36">
        <f>PI()*CALCULATIONS!L257</f>
        <v>1.0755027727003296E-5</v>
      </c>
      <c r="C262" s="31">
        <f t="shared" si="11"/>
        <v>1.4570569725720172E-2</v>
      </c>
      <c r="D262" s="30">
        <f t="shared" si="12"/>
        <v>1.4581324753447174E-2</v>
      </c>
      <c r="E262" s="31">
        <f t="shared" si="15"/>
        <v>6.7582947684344252E-8</v>
      </c>
      <c r="F262" s="31">
        <f t="shared" si="15"/>
        <v>1.0745403750180363E-5</v>
      </c>
      <c r="G262" s="31">
        <f t="shared" si="15"/>
        <v>2.2173454702682088E-5</v>
      </c>
    </row>
    <row r="263" spans="1:7" x14ac:dyDescent="0.25">
      <c r="A263" s="1">
        <f>A262+2</f>
        <v>900</v>
      </c>
      <c r="B263" s="36">
        <f>PI()*CALCULATIONS!L258</f>
        <v>1.053137860343762E-5</v>
      </c>
      <c r="C263" s="31">
        <f t="shared" si="11"/>
        <v>1.4545443721170646E-2</v>
      </c>
      <c r="D263" s="30">
        <f t="shared" si="12"/>
        <v>1.4555975099774084E-2</v>
      </c>
      <c r="E263" s="31">
        <f t="shared" si="15"/>
        <v>1.3404811594758259E-7</v>
      </c>
      <c r="F263" s="31">
        <f t="shared" si="15"/>
        <v>1.0521771222540138E-5</v>
      </c>
      <c r="G263" s="31">
        <f t="shared" si="15"/>
        <v>2.1930115240747367E-5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INPUT</vt:lpstr>
      <vt:lpstr>README</vt:lpstr>
      <vt:lpstr>SampleRRS</vt:lpstr>
      <vt:lpstr>PARAMETERS</vt:lpstr>
      <vt:lpstr>CALCULATIONS</vt:lpstr>
      <vt:lpstr>AEROSOLCorrection</vt:lpstr>
      <vt:lpstr>CDOM</vt:lpstr>
      <vt:lpstr>CHL</vt:lpstr>
      <vt:lpstr>CounterCDOM</vt:lpstr>
      <vt:lpstr>CounterCHL</vt:lpstr>
      <vt:lpstr>CounterNAP</vt:lpstr>
      <vt:lpstr>DefaultIOP</vt:lpstr>
      <vt:lpstr>Home</vt:lpstr>
      <vt:lpstr>InputCONS</vt:lpstr>
      <vt:lpstr>InputIOP</vt:lpstr>
      <vt:lpstr>InputRrs</vt:lpstr>
      <vt:lpstr>NAP</vt:lpstr>
      <vt:lpstr>SavedCONS</vt:lpstr>
      <vt:lpstr>SavedIOP</vt:lpstr>
      <vt:lpstr>SavedRrs</vt:lpstr>
    </vt:vector>
  </TitlesOfParts>
  <Company>M.U.M.M.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 Ruddick</cp:lastModifiedBy>
  <cp:lastPrinted>2006-07-20T14:36:00Z</cp:lastPrinted>
  <dcterms:created xsi:type="dcterms:W3CDTF">2003-04-02T09:54:59Z</dcterms:created>
  <dcterms:modified xsi:type="dcterms:W3CDTF">2018-07-04T05:57:00Z</dcterms:modified>
</cp:coreProperties>
</file>